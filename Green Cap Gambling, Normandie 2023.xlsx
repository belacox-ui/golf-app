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nsbauernfeind/Dropbox/Green Cap Konto/"/>
    </mc:Choice>
  </mc:AlternateContent>
  <xr:revisionPtr revIDLastSave="0" documentId="13_ncr:1_{652068DE-9B96-B14D-AE72-A067024100CD}" xr6:coauthVersionLast="47" xr6:coauthVersionMax="47" xr10:uidLastSave="{00000000-0000-0000-0000-000000000000}"/>
  <bookViews>
    <workbookView xWindow="0" yWindow="500" windowWidth="27320" windowHeight="14000" xr2:uid="{7D578845-1367-5B45-B604-E303F015A2B8}"/>
  </bookViews>
  <sheets>
    <sheet name="Tabelle1" sheetId="1" r:id="rId1"/>
  </sheets>
  <definedNames>
    <definedName name="_xlnm._FilterDatabase" localSheetId="0" hidden="1">Tabelle1!#REF!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  <c r="L19" i="1"/>
  <c r="J19" i="1"/>
  <c r="O105" i="1"/>
  <c r="O106" i="1"/>
  <c r="O107" i="1"/>
  <c r="O108" i="1"/>
  <c r="O109" i="1"/>
  <c r="O110" i="1"/>
  <c r="O111" i="1"/>
  <c r="O112" i="1"/>
  <c r="O113" i="1"/>
  <c r="O114" i="1"/>
  <c r="O115" i="1"/>
  <c r="O104" i="1"/>
  <c r="K19" i="1"/>
  <c r="I19" i="1"/>
  <c r="G19" i="1"/>
  <c r="E19" i="1"/>
  <c r="C19" i="1"/>
  <c r="O82" i="1"/>
  <c r="O92" i="1"/>
  <c r="O91" i="1"/>
  <c r="O90" i="1"/>
  <c r="O89" i="1"/>
  <c r="O88" i="1"/>
  <c r="O87" i="1"/>
  <c r="O86" i="1"/>
  <c r="O85" i="1"/>
  <c r="O84" i="1"/>
  <c r="O83" i="1"/>
  <c r="O81" i="1"/>
  <c r="O66" i="1"/>
  <c r="A54" i="1"/>
  <c r="O69" i="1"/>
  <c r="O68" i="1"/>
  <c r="O67" i="1"/>
  <c r="O65" i="1"/>
  <c r="O64" i="1"/>
  <c r="O63" i="1"/>
  <c r="O62" i="1"/>
  <c r="O61" i="1"/>
  <c r="O60" i="1"/>
  <c r="O59" i="1"/>
  <c r="O58" i="1"/>
  <c r="O45" i="1"/>
  <c r="O35" i="1"/>
  <c r="O36" i="1"/>
  <c r="O38" i="1"/>
  <c r="O39" i="1"/>
  <c r="O40" i="1"/>
  <c r="O41" i="1"/>
  <c r="O42" i="1"/>
  <c r="O43" i="1"/>
  <c r="O44" i="1"/>
  <c r="O46" i="1"/>
  <c r="O37" i="1"/>
  <c r="Q8" i="1" l="1"/>
  <c r="Q9" i="1"/>
  <c r="Q10" i="1"/>
  <c r="Q11" i="1"/>
  <c r="Q12" i="1"/>
  <c r="Q13" i="1"/>
  <c r="Q14" i="1"/>
  <c r="Q15" i="1"/>
  <c r="Q16" i="1"/>
  <c r="Q17" i="1"/>
  <c r="Q18" i="1"/>
  <c r="Q7" i="1"/>
  <c r="A123" i="1"/>
  <c r="C123" i="1" s="1"/>
  <c r="M101" i="1"/>
  <c r="L101" i="1"/>
  <c r="A100" i="1"/>
  <c r="C100" i="1" s="1"/>
  <c r="D108" i="1" s="1"/>
  <c r="M78" i="1"/>
  <c r="L78" i="1"/>
  <c r="A77" i="1"/>
  <c r="C77" i="1" s="1"/>
  <c r="M55" i="1"/>
  <c r="L55" i="1"/>
  <c r="C54" i="1"/>
  <c r="D112" i="1" l="1"/>
  <c r="D104" i="1"/>
  <c r="D107" i="1"/>
  <c r="D105" i="1"/>
  <c r="D109" i="1"/>
  <c r="D113" i="1"/>
  <c r="D111" i="1"/>
  <c r="D106" i="1"/>
  <c r="D110" i="1"/>
  <c r="D114" i="1"/>
  <c r="D115" i="1"/>
  <c r="D131" i="1"/>
  <c r="D127" i="1"/>
  <c r="D128" i="1"/>
  <c r="D136" i="1"/>
  <c r="D129" i="1"/>
  <c r="D133" i="1"/>
  <c r="D137" i="1"/>
  <c r="D130" i="1"/>
  <c r="D134" i="1"/>
  <c r="D138" i="1"/>
  <c r="D85" i="1"/>
  <c r="D81" i="1"/>
  <c r="D82" i="1"/>
  <c r="D90" i="1"/>
  <c r="D83" i="1"/>
  <c r="D87" i="1"/>
  <c r="D91" i="1"/>
  <c r="D88" i="1"/>
  <c r="D92" i="1"/>
  <c r="D86" i="1"/>
  <c r="D62" i="1"/>
  <c r="D58" i="1"/>
  <c r="D67" i="1"/>
  <c r="D69" i="1"/>
  <c r="D65" i="1"/>
  <c r="D61" i="1"/>
  <c r="D63" i="1"/>
  <c r="D68" i="1"/>
  <c r="D60" i="1"/>
  <c r="D64" i="1"/>
  <c r="D59" i="1"/>
  <c r="M53" i="1"/>
  <c r="M99" i="1"/>
  <c r="M76" i="1"/>
  <c r="D71" i="1" l="1"/>
  <c r="O10" i="1"/>
  <c r="O11" i="1"/>
  <c r="O12" i="1"/>
  <c r="O13" i="1"/>
  <c r="O14" i="1"/>
  <c r="O7" i="1"/>
  <c r="O21" i="1"/>
  <c r="A31" i="1"/>
  <c r="C31" i="1" s="1"/>
  <c r="O8" i="1"/>
  <c r="O9" i="1"/>
  <c r="O15" i="1"/>
  <c r="O16" i="1"/>
  <c r="O17" i="1"/>
  <c r="O18" i="1"/>
  <c r="M32" i="1"/>
  <c r="L32" i="1"/>
  <c r="O19" i="1" l="1"/>
  <c r="D42" i="1"/>
  <c r="E42" i="1" s="1"/>
  <c r="D36" i="1"/>
  <c r="F36" i="1" s="1"/>
  <c r="D45" i="1"/>
  <c r="D44" i="1"/>
  <c r="D35" i="1"/>
  <c r="M30" i="1"/>
  <c r="D46" i="1"/>
  <c r="E46" i="1" s="1"/>
  <c r="E38" i="1"/>
  <c r="D39" i="1"/>
  <c r="D41" i="1"/>
  <c r="D40" i="1"/>
  <c r="D37" i="1"/>
  <c r="D48" i="1" l="1"/>
  <c r="E35" i="1"/>
  <c r="F42" i="1"/>
  <c r="F110" i="1"/>
  <c r="E110" i="1"/>
  <c r="F113" i="1"/>
  <c r="E113" i="1"/>
  <c r="F135" i="1"/>
  <c r="E135" i="1"/>
  <c r="F92" i="1"/>
  <c r="E92" i="1"/>
  <c r="F63" i="1"/>
  <c r="E63" i="1"/>
  <c r="F130" i="1"/>
  <c r="E130" i="1"/>
  <c r="F112" i="1"/>
  <c r="E112" i="1"/>
  <c r="F115" i="1"/>
  <c r="E115" i="1"/>
  <c r="F65" i="1"/>
  <c r="E65" i="1"/>
  <c r="F128" i="1"/>
  <c r="E128" i="1"/>
  <c r="F67" i="1"/>
  <c r="E67" i="1"/>
  <c r="F134" i="1"/>
  <c r="E134" i="1"/>
  <c r="F106" i="1"/>
  <c r="E106" i="1"/>
  <c r="F114" i="1"/>
  <c r="E114" i="1"/>
  <c r="F109" i="1"/>
  <c r="E109" i="1"/>
  <c r="F127" i="1"/>
  <c r="D140" i="1"/>
  <c r="E127" i="1"/>
  <c r="F66" i="1"/>
  <c r="E66" i="1"/>
  <c r="F69" i="1"/>
  <c r="E69" i="1"/>
  <c r="F88" i="1"/>
  <c r="E88" i="1"/>
  <c r="F132" i="1"/>
  <c r="E132" i="1"/>
  <c r="F137" i="1"/>
  <c r="E137" i="1"/>
  <c r="F83" i="1"/>
  <c r="E83" i="1"/>
  <c r="F91" i="1"/>
  <c r="E91" i="1"/>
  <c r="F138" i="1"/>
  <c r="E138" i="1"/>
  <c r="F64" i="1"/>
  <c r="E64" i="1"/>
  <c r="F105" i="1"/>
  <c r="E105" i="1"/>
  <c r="F61" i="1"/>
  <c r="E61" i="1"/>
  <c r="F84" i="1"/>
  <c r="E84" i="1"/>
  <c r="F129" i="1"/>
  <c r="E129" i="1"/>
  <c r="F87" i="1"/>
  <c r="E87" i="1"/>
  <c r="F68" i="1"/>
  <c r="E68" i="1"/>
  <c r="F107" i="1"/>
  <c r="E107" i="1"/>
  <c r="F62" i="1"/>
  <c r="E62" i="1"/>
  <c r="F86" i="1"/>
  <c r="E86" i="1"/>
  <c r="F133" i="1"/>
  <c r="E133" i="1"/>
  <c r="F89" i="1"/>
  <c r="E89" i="1"/>
  <c r="F60" i="1"/>
  <c r="E60" i="1"/>
  <c r="F108" i="1"/>
  <c r="E108" i="1"/>
  <c r="F81" i="1"/>
  <c r="D94" i="1"/>
  <c r="E81" i="1"/>
  <c r="F111" i="1"/>
  <c r="E111" i="1"/>
  <c r="F131" i="1"/>
  <c r="E131" i="1"/>
  <c r="F58" i="1"/>
  <c r="E58" i="1"/>
  <c r="F82" i="1"/>
  <c r="E82" i="1"/>
  <c r="F90" i="1"/>
  <c r="E90" i="1"/>
  <c r="F136" i="1"/>
  <c r="E136" i="1"/>
  <c r="F59" i="1"/>
  <c r="E59" i="1"/>
  <c r="F85" i="1"/>
  <c r="E85" i="1"/>
  <c r="F104" i="1"/>
  <c r="D117" i="1"/>
  <c r="E104" i="1"/>
  <c r="F35" i="1"/>
  <c r="E45" i="1"/>
  <c r="F45" i="1"/>
  <c r="E44" i="1"/>
  <c r="F44" i="1"/>
  <c r="E43" i="1"/>
  <c r="F43" i="1"/>
  <c r="E36" i="1"/>
  <c r="F46" i="1"/>
  <c r="F38" i="1"/>
  <c r="F40" i="1"/>
  <c r="E40" i="1"/>
  <c r="E41" i="1"/>
  <c r="F41" i="1"/>
  <c r="F37" i="1"/>
  <c r="E37" i="1"/>
  <c r="E39" i="1"/>
  <c r="F39" i="1"/>
  <c r="E101" i="1" l="1"/>
  <c r="E117" i="1"/>
  <c r="F117" i="1"/>
  <c r="F101" i="1"/>
  <c r="E94" i="1"/>
  <c r="E78" i="1"/>
  <c r="F140" i="1"/>
  <c r="F124" i="1"/>
  <c r="E71" i="1"/>
  <c r="E55" i="1"/>
  <c r="F94" i="1"/>
  <c r="F78" i="1"/>
  <c r="F55" i="1"/>
  <c r="F71" i="1"/>
  <c r="E140" i="1"/>
  <c r="E124" i="1"/>
  <c r="F32" i="1"/>
  <c r="E32" i="1"/>
  <c r="F48" i="1"/>
  <c r="E48" i="1"/>
  <c r="F122" i="1" l="1"/>
  <c r="F53" i="1"/>
  <c r="F76" i="1"/>
  <c r="F99" i="1"/>
  <c r="F30" i="1"/>
</calcChain>
</file>

<file path=xl/sharedStrings.xml><?xml version="1.0" encoding="utf-8"?>
<sst xmlns="http://schemas.openxmlformats.org/spreadsheetml/2006/main" count="295" uniqueCount="77">
  <si>
    <t>Fred K.</t>
  </si>
  <si>
    <t>Herbert P.</t>
  </si>
  <si>
    <t>Hans B.</t>
  </si>
  <si>
    <t>Michael F.</t>
  </si>
  <si>
    <t>StF. Punkte</t>
  </si>
  <si>
    <t>Durchschnitt Stableford-Punkte</t>
  </si>
  <si>
    <t>Anzahl Spieler</t>
  </si>
  <si>
    <t>Auszahlung</t>
  </si>
  <si>
    <t>Einzahlung</t>
  </si>
  <si>
    <t>Kurt W.</t>
  </si>
  <si>
    <t>Bela C.</t>
  </si>
  <si>
    <t>Dieter K.</t>
  </si>
  <si>
    <t>CHARITY</t>
  </si>
  <si>
    <t>Wette Donnerstag</t>
  </si>
  <si>
    <t>Straka</t>
  </si>
  <si>
    <t>Donnerstag</t>
  </si>
  <si>
    <t>Freitag</t>
  </si>
  <si>
    <t>Samstag</t>
  </si>
  <si>
    <t>Sonntag</t>
  </si>
  <si>
    <t>Montag</t>
  </si>
  <si>
    <t>Summary</t>
  </si>
  <si>
    <t>Spiel</t>
  </si>
  <si>
    <t>Wette</t>
  </si>
  <si>
    <t>Spende</t>
  </si>
  <si>
    <t>Platz 1</t>
  </si>
  <si>
    <t>HCP</t>
  </si>
  <si>
    <t>Grand Prix Wertung</t>
  </si>
  <si>
    <t>Grand Prix</t>
  </si>
  <si>
    <t>GP</t>
  </si>
  <si>
    <t>Punkte</t>
  </si>
  <si>
    <t>Result</t>
  </si>
  <si>
    <t>GREEN CAP GAMBLING / NORMANDIE 2023</t>
  </si>
  <si>
    <t>Rudi L.</t>
  </si>
  <si>
    <t>Max H.</t>
  </si>
  <si>
    <t xml:space="preserve">Seppi M. </t>
  </si>
  <si>
    <t>Michael G.</t>
  </si>
  <si>
    <t>Herbert H.</t>
  </si>
  <si>
    <t>Grand prix Wertung / Punkte</t>
  </si>
  <si>
    <t>Platz 2</t>
  </si>
  <si>
    <t>Platz 3</t>
  </si>
  <si>
    <t>Platz 4</t>
  </si>
  <si>
    <t>Platz 5</t>
  </si>
  <si>
    <t>Platz 6</t>
  </si>
  <si>
    <t>DONNERSTAG, 20.7.  -  GC PARIS NATIONAL</t>
  </si>
  <si>
    <t>Einsatz</t>
  </si>
  <si>
    <t>FREITAG, 21.7.  -  GC BARRIERE DEAUVILLE</t>
  </si>
  <si>
    <t>SAMSTAG, 22.7.  -  GC OMAHA BEACH</t>
  </si>
  <si>
    <t>MONTAG, 24.7.  -  GC CHAMP DE BATAILLE</t>
  </si>
  <si>
    <t>Fleetwood, Grillo, Lambrecht</t>
  </si>
  <si>
    <t>C. Smith</t>
  </si>
  <si>
    <t>Rahm</t>
  </si>
  <si>
    <t>Scheffler</t>
  </si>
  <si>
    <t>Matsuyama</t>
  </si>
  <si>
    <t>McIlroy</t>
  </si>
  <si>
    <t>Koepka</t>
  </si>
  <si>
    <t>Fitzpatrick</t>
  </si>
  <si>
    <t>Hatton</t>
  </si>
  <si>
    <t>Hovland</t>
  </si>
  <si>
    <t>Spieth</t>
  </si>
  <si>
    <t>Fleetwood</t>
  </si>
  <si>
    <t>Noren</t>
  </si>
  <si>
    <t>Grillo</t>
  </si>
  <si>
    <t>Rozner</t>
  </si>
  <si>
    <t>Homa</t>
  </si>
  <si>
    <t>Clark</t>
  </si>
  <si>
    <t>Harmann</t>
  </si>
  <si>
    <t>Wette Freitag</t>
  </si>
  <si>
    <t>Wette Samstag</t>
  </si>
  <si>
    <t>Wette Sonntag</t>
  </si>
  <si>
    <t>Harman</t>
  </si>
  <si>
    <t>Day</t>
  </si>
  <si>
    <t>Lee</t>
  </si>
  <si>
    <t>Young</t>
  </si>
  <si>
    <t>SPIELER</t>
  </si>
  <si>
    <t>SONNTAG, 23.7.  -  GC ETRETAT  /  ABBRUCH: REGEN</t>
  </si>
  <si>
    <t>Harman out</t>
  </si>
  <si>
    <t>Straka, Day, Rahm, 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</si>
</sst>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4" x14ac:knownFonts="1"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0" tint="-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3" fontId="0" fillId="2" borderId="0" xfId="0" applyNumberFormat="1" applyFill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7" xfId="0" applyNumberFormat="1" applyBorder="1"/>
    <xf numFmtId="3" fontId="0" fillId="0" borderId="11" xfId="0" applyNumberFormat="1" applyBorder="1"/>
    <xf numFmtId="3" fontId="0" fillId="0" borderId="10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3" xfId="0" applyNumberFormat="1" applyBorder="1"/>
    <xf numFmtId="3" fontId="0" fillId="0" borderId="2" xfId="0" applyNumberFormat="1" applyBorder="1"/>
    <xf numFmtId="3" fontId="0" fillId="0" borderId="6" xfId="0" applyNumberFormat="1" applyBorder="1"/>
    <xf numFmtId="3" fontId="0" fillId="0" borderId="1" xfId="0" applyNumberFormat="1" applyBorder="1" applyAlignment="1">
      <alignment horizontal="center"/>
    </xf>
    <xf numFmtId="3" fontId="0" fillId="2" borderId="2" xfId="0" applyNumberFormat="1" applyFill="1" applyBorder="1" applyAlignment="1">
      <alignment horizontal="center"/>
    </xf>
    <xf numFmtId="3" fontId="0" fillId="2" borderId="4" xfId="0" applyNumberFormat="1" applyFill="1" applyBorder="1" applyAlignment="1">
      <alignment horizontal="center"/>
    </xf>
    <xf numFmtId="3" fontId="0" fillId="3" borderId="0" xfId="0" applyNumberFormat="1" applyFill="1"/>
    <xf numFmtId="3" fontId="0" fillId="3" borderId="0" xfId="0" applyNumberFormat="1" applyFill="1" applyAlignment="1">
      <alignment horizontal="center"/>
    </xf>
    <xf numFmtId="3" fontId="0" fillId="0" borderId="4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4" xfId="0" applyNumberFormat="1" applyBorder="1"/>
    <xf numFmtId="164" fontId="0" fillId="0" borderId="9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7" xfId="0" applyNumberFormat="1" applyBorder="1"/>
    <xf numFmtId="164" fontId="0" fillId="0" borderId="12" xfId="0" applyNumberFormat="1" applyBorder="1"/>
    <xf numFmtId="3" fontId="0" fillId="0" borderId="12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3" fontId="1" fillId="2" borderId="0" xfId="0" applyNumberFormat="1" applyFont="1" applyFill="1" applyAlignment="1">
      <alignment horizontal="left"/>
    </xf>
    <xf numFmtId="3" fontId="0" fillId="2" borderId="0" xfId="0" applyNumberFormat="1" applyFill="1"/>
    <xf numFmtId="164" fontId="0" fillId="0" borderId="6" xfId="0" applyNumberFormat="1" applyBorder="1" applyAlignment="1">
      <alignment horizontal="center"/>
    </xf>
    <xf numFmtId="3" fontId="0" fillId="0" borderId="10" xfId="0" applyNumberFormat="1" applyBorder="1"/>
    <xf numFmtId="3" fontId="0" fillId="0" borderId="12" xfId="0" applyNumberFormat="1" applyBorder="1"/>
    <xf numFmtId="3" fontId="0" fillId="0" borderId="0" xfId="0" applyNumberFormat="1" applyAlignment="1">
      <alignment horizontal="right"/>
    </xf>
    <xf numFmtId="164" fontId="0" fillId="0" borderId="10" xfId="0" applyNumberFormat="1" applyBorder="1"/>
    <xf numFmtId="164" fontId="0" fillId="0" borderId="3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2" borderId="2" xfId="0" applyNumberFormat="1" applyFill="1" applyBorder="1" applyAlignment="1">
      <alignment horizontal="right"/>
    </xf>
    <xf numFmtId="3" fontId="0" fillId="2" borderId="8" xfId="0" applyNumberFormat="1" applyFill="1" applyBorder="1" applyAlignment="1">
      <alignment horizontal="center"/>
    </xf>
    <xf numFmtId="3" fontId="0" fillId="2" borderId="9" xfId="0" applyNumberFormat="1" applyFill="1" applyBorder="1" applyAlignment="1">
      <alignment horizontal="center"/>
    </xf>
    <xf numFmtId="4" fontId="0" fillId="0" borderId="8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5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3" fontId="0" fillId="0" borderId="5" xfId="0" applyNumberFormat="1" applyBorder="1"/>
    <xf numFmtId="3" fontId="0" fillId="0" borderId="3" xfId="0" applyNumberFormat="1" applyBorder="1" applyAlignment="1">
      <alignment horizontal="left"/>
    </xf>
    <xf numFmtId="3" fontId="0" fillId="4" borderId="0" xfId="0" applyNumberFormat="1" applyFill="1" applyAlignment="1">
      <alignment horizontal="center"/>
    </xf>
    <xf numFmtId="3" fontId="0" fillId="4" borderId="6" xfId="0" applyNumberFormat="1" applyFill="1" applyBorder="1" applyAlignment="1">
      <alignment horizontal="center"/>
    </xf>
    <xf numFmtId="3" fontId="0" fillId="4" borderId="2" xfId="0" applyNumberFormat="1" applyFill="1" applyBorder="1" applyAlignment="1">
      <alignment horizontal="center"/>
    </xf>
    <xf numFmtId="3" fontId="0" fillId="4" borderId="8" xfId="0" applyNumberFormat="1" applyFill="1" applyBorder="1" applyAlignment="1">
      <alignment horizontal="center"/>
    </xf>
    <xf numFmtId="164" fontId="0" fillId="4" borderId="10" xfId="0" applyNumberFormat="1" applyFill="1" applyBorder="1" applyAlignment="1">
      <alignment horizontal="center"/>
    </xf>
    <xf numFmtId="3" fontId="3" fillId="0" borderId="0" xfId="0" applyNumberFormat="1" applyFont="1"/>
    <xf numFmtId="164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0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2" borderId="10" xfId="0" applyNumberFormat="1" applyFill="1" applyBorder="1" applyAlignment="1">
      <alignment horizontal="center" vertical="center"/>
    </xf>
    <xf numFmtId="3" fontId="0" fillId="2" borderId="12" xfId="0" applyNumberForma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9106E-0AEB-0F4C-B4C8-16709DE92276}">
  <sheetPr>
    <pageSetUpPr fitToPage="1"/>
  </sheetPr>
  <dimension ref="A1:R140"/>
  <sheetViews>
    <sheetView tabSelected="1" topLeftCell="A6" zoomScaleNormal="100" workbookViewId="0">
      <selection activeCell="O29" sqref="O29"/>
    </sheetView>
  </sheetViews>
  <sheetFormatPr baseColWidth="10" defaultColWidth="10.83203125" defaultRowHeight="16" x14ac:dyDescent="0.2"/>
  <cols>
    <col min="1" max="1" width="9.1640625" style="2" customWidth="1"/>
    <col min="2" max="2" width="28.83203125" style="1" customWidth="1"/>
    <col min="3" max="3" width="14.5" style="2" customWidth="1"/>
    <col min="4" max="4" width="13.33203125" style="2" customWidth="1"/>
    <col min="5" max="5" width="11.83203125" style="2" customWidth="1"/>
    <col min="6" max="6" width="15.1640625" style="2" customWidth="1"/>
    <col min="7" max="9" width="10.83203125" style="2"/>
    <col min="10" max="10" width="10.83203125" style="1"/>
    <col min="11" max="12" width="14" style="1" customWidth="1"/>
    <col min="13" max="13" width="16.33203125" style="1" customWidth="1"/>
    <col min="14" max="14" width="15" style="1" customWidth="1"/>
    <col min="15" max="15" width="19.6640625" style="1" customWidth="1"/>
    <col min="16" max="16" width="26.1640625" style="1" customWidth="1"/>
    <col min="17" max="17" width="19" style="1" customWidth="1"/>
    <col min="18" max="16384" width="10.83203125" style="1"/>
  </cols>
  <sheetData>
    <row r="1" spans="1:17" ht="26" x14ac:dyDescent="0.3">
      <c r="A1" s="36" t="s">
        <v>31</v>
      </c>
      <c r="B1" s="37"/>
      <c r="C1" s="3"/>
      <c r="D1" s="3"/>
    </row>
    <row r="5" spans="1:17" x14ac:dyDescent="0.2">
      <c r="A5" s="67" t="s">
        <v>25</v>
      </c>
      <c r="B5" s="69" t="s">
        <v>73</v>
      </c>
      <c r="C5" s="63" t="s">
        <v>15</v>
      </c>
      <c r="D5" s="64"/>
      <c r="E5" s="63" t="s">
        <v>16</v>
      </c>
      <c r="F5" s="64"/>
      <c r="G5" s="63" t="s">
        <v>17</v>
      </c>
      <c r="H5" s="64"/>
      <c r="I5" s="63" t="s">
        <v>18</v>
      </c>
      <c r="J5" s="64"/>
      <c r="K5" s="11" t="s">
        <v>19</v>
      </c>
      <c r="L5" s="63" t="s">
        <v>27</v>
      </c>
      <c r="M5" s="64"/>
      <c r="N5" s="11"/>
      <c r="O5" s="11" t="s">
        <v>20</v>
      </c>
      <c r="P5" s="39"/>
      <c r="Q5" s="11" t="s">
        <v>26</v>
      </c>
    </row>
    <row r="6" spans="1:17" x14ac:dyDescent="0.2">
      <c r="A6" s="68"/>
      <c r="B6" s="70"/>
      <c r="C6" s="7" t="s">
        <v>21</v>
      </c>
      <c r="D6" s="8" t="s">
        <v>22</v>
      </c>
      <c r="E6" s="7" t="s">
        <v>21</v>
      </c>
      <c r="F6" s="8" t="s">
        <v>22</v>
      </c>
      <c r="G6" s="7" t="s">
        <v>21</v>
      </c>
      <c r="H6" s="8" t="s">
        <v>22</v>
      </c>
      <c r="I6" s="7" t="s">
        <v>21</v>
      </c>
      <c r="J6" s="8" t="s">
        <v>22</v>
      </c>
      <c r="K6" s="32" t="s">
        <v>21</v>
      </c>
      <c r="L6" s="32" t="s">
        <v>44</v>
      </c>
      <c r="M6" s="31" t="s">
        <v>7</v>
      </c>
      <c r="N6" s="31" t="s">
        <v>23</v>
      </c>
      <c r="O6" s="10"/>
      <c r="P6" s="40"/>
      <c r="Q6" s="32" t="s">
        <v>29</v>
      </c>
    </row>
    <row r="7" spans="1:17" x14ac:dyDescent="0.2">
      <c r="A7" s="33">
        <v>17.3</v>
      </c>
      <c r="B7" s="4" t="s">
        <v>1</v>
      </c>
      <c r="C7" s="22">
        <v>8</v>
      </c>
      <c r="D7" s="24">
        <v>-20</v>
      </c>
      <c r="E7" s="22">
        <v>53</v>
      </c>
      <c r="F7" s="24">
        <v>-20</v>
      </c>
      <c r="G7" s="22">
        <v>13</v>
      </c>
      <c r="H7" s="24">
        <v>-20</v>
      </c>
      <c r="I7" s="22">
        <v>0</v>
      </c>
      <c r="J7" s="24">
        <v>-20</v>
      </c>
      <c r="K7" s="22">
        <v>35</v>
      </c>
      <c r="L7" s="33">
        <v>-20</v>
      </c>
      <c r="M7" s="4">
        <v>60</v>
      </c>
      <c r="N7" s="22"/>
      <c r="O7" s="59">
        <f t="shared" ref="O7:O18" si="0">SUM(C7:N7)</f>
        <v>69</v>
      </c>
      <c r="P7" s="57" t="s">
        <v>1</v>
      </c>
      <c r="Q7" s="11">
        <f>A35+A58+A81+A104+A127</f>
        <v>28</v>
      </c>
    </row>
    <row r="8" spans="1:17" x14ac:dyDescent="0.2">
      <c r="A8" s="34">
        <v>17.7</v>
      </c>
      <c r="B8" s="2" t="s">
        <v>0</v>
      </c>
      <c r="C8" s="23">
        <v>-44</v>
      </c>
      <c r="D8" s="26">
        <v>-20</v>
      </c>
      <c r="E8" s="23">
        <v>31</v>
      </c>
      <c r="F8" s="26">
        <v>-20</v>
      </c>
      <c r="G8" s="23">
        <v>-54</v>
      </c>
      <c r="H8" s="26">
        <v>-20</v>
      </c>
      <c r="I8" s="23">
        <v>0</v>
      </c>
      <c r="J8" s="26">
        <v>-20</v>
      </c>
      <c r="K8" s="23">
        <v>9</v>
      </c>
      <c r="L8" s="34">
        <v>-20</v>
      </c>
      <c r="M8" s="2"/>
      <c r="N8" s="7"/>
      <c r="O8" s="34">
        <f t="shared" si="0"/>
        <v>-158</v>
      </c>
      <c r="P8" s="7" t="s">
        <v>0</v>
      </c>
      <c r="Q8" s="32">
        <f t="shared" ref="Q8:Q18" si="1">A36+A59+A82+A105+A128</f>
        <v>10</v>
      </c>
    </row>
    <row r="9" spans="1:17" x14ac:dyDescent="0.2">
      <c r="A9" s="34">
        <v>24.2</v>
      </c>
      <c r="B9" s="2" t="s">
        <v>9</v>
      </c>
      <c r="C9" s="23">
        <v>-84</v>
      </c>
      <c r="D9" s="26">
        <v>40</v>
      </c>
      <c r="E9" s="23">
        <v>-48</v>
      </c>
      <c r="F9" s="26">
        <v>-20</v>
      </c>
      <c r="G9" s="23">
        <v>-64</v>
      </c>
      <c r="H9" s="26">
        <v>0</v>
      </c>
      <c r="I9" s="23">
        <v>0</v>
      </c>
      <c r="J9" s="26">
        <v>-20</v>
      </c>
      <c r="K9" s="23">
        <v>-21</v>
      </c>
      <c r="L9" s="34">
        <v>-20</v>
      </c>
      <c r="M9" s="2"/>
      <c r="N9" s="7"/>
      <c r="O9" s="34">
        <f t="shared" si="0"/>
        <v>-237</v>
      </c>
      <c r="P9" s="7" t="s">
        <v>9</v>
      </c>
      <c r="Q9" s="32">
        <f t="shared" si="1"/>
        <v>1</v>
      </c>
    </row>
    <row r="10" spans="1:17" x14ac:dyDescent="0.2">
      <c r="A10" s="34">
        <v>11.3</v>
      </c>
      <c r="B10" s="2" t="s">
        <v>34</v>
      </c>
      <c r="C10" s="23"/>
      <c r="D10" s="26">
        <v>-20</v>
      </c>
      <c r="E10" s="23">
        <v>-136</v>
      </c>
      <c r="F10" s="26">
        <v>40</v>
      </c>
      <c r="G10" s="23"/>
      <c r="H10" s="26">
        <v>0</v>
      </c>
      <c r="I10" s="23">
        <v>0</v>
      </c>
      <c r="J10" s="26">
        <v>-20</v>
      </c>
      <c r="K10" s="23">
        <v>-51</v>
      </c>
      <c r="L10" s="34">
        <v>-20</v>
      </c>
      <c r="M10" s="2"/>
      <c r="N10" s="7"/>
      <c r="O10" s="34">
        <f t="shared" si="0"/>
        <v>-207</v>
      </c>
      <c r="P10" s="7" t="s">
        <v>34</v>
      </c>
      <c r="Q10" s="32">
        <f t="shared" si="1"/>
        <v>0</v>
      </c>
    </row>
    <row r="11" spans="1:17" x14ac:dyDescent="0.2">
      <c r="A11" s="34">
        <v>15.4</v>
      </c>
      <c r="B11" s="2" t="s">
        <v>35</v>
      </c>
      <c r="C11" s="23">
        <v>-34</v>
      </c>
      <c r="D11" s="26">
        <v>-20</v>
      </c>
      <c r="E11" s="23">
        <v>-15</v>
      </c>
      <c r="F11" s="26">
        <v>-20</v>
      </c>
      <c r="G11" s="23">
        <v>28</v>
      </c>
      <c r="H11" s="26">
        <v>0</v>
      </c>
      <c r="I11" s="23">
        <v>0</v>
      </c>
      <c r="J11" s="26">
        <v>-10</v>
      </c>
      <c r="K11" s="23">
        <v>4</v>
      </c>
      <c r="L11" s="34">
        <v>-20</v>
      </c>
      <c r="M11" s="2">
        <v>10</v>
      </c>
      <c r="N11" s="7"/>
      <c r="O11" s="34">
        <f t="shared" si="0"/>
        <v>-77</v>
      </c>
      <c r="P11" s="58" t="s">
        <v>35</v>
      </c>
      <c r="Q11" s="32">
        <f t="shared" si="1"/>
        <v>12</v>
      </c>
    </row>
    <row r="12" spans="1:17" x14ac:dyDescent="0.2">
      <c r="A12" s="34">
        <v>16.7</v>
      </c>
      <c r="B12" s="2" t="s">
        <v>36</v>
      </c>
      <c r="C12" s="23">
        <v>3</v>
      </c>
      <c r="D12" s="26">
        <v>-20</v>
      </c>
      <c r="E12" s="23">
        <v>4</v>
      </c>
      <c r="F12" s="26">
        <v>-20</v>
      </c>
      <c r="G12" s="23">
        <v>-14</v>
      </c>
      <c r="H12" s="26">
        <v>-20</v>
      </c>
      <c r="I12" s="23">
        <v>0</v>
      </c>
      <c r="J12" s="26">
        <v>20</v>
      </c>
      <c r="K12" s="23">
        <v>0</v>
      </c>
      <c r="L12" s="34">
        <v>-20</v>
      </c>
      <c r="M12" s="2"/>
      <c r="N12" s="7">
        <v>-50</v>
      </c>
      <c r="O12" s="34">
        <f t="shared" si="0"/>
        <v>-117</v>
      </c>
      <c r="P12" s="7" t="s">
        <v>36</v>
      </c>
      <c r="Q12" s="32">
        <f t="shared" si="1"/>
        <v>4</v>
      </c>
    </row>
    <row r="13" spans="1:17" x14ac:dyDescent="0.2">
      <c r="A13" s="34">
        <v>23.8</v>
      </c>
      <c r="B13" s="2" t="s">
        <v>10</v>
      </c>
      <c r="C13" s="23">
        <v>-14</v>
      </c>
      <c r="D13" s="26">
        <v>-20</v>
      </c>
      <c r="E13" s="23">
        <v>-15</v>
      </c>
      <c r="F13" s="26">
        <v>-20</v>
      </c>
      <c r="G13" s="23">
        <v>3</v>
      </c>
      <c r="H13" s="26">
        <v>0</v>
      </c>
      <c r="I13" s="23">
        <v>0</v>
      </c>
      <c r="J13" s="26">
        <v>-10</v>
      </c>
      <c r="K13" s="23">
        <v>9</v>
      </c>
      <c r="L13" s="34">
        <v>-20</v>
      </c>
      <c r="M13" s="2"/>
      <c r="N13" s="7"/>
      <c r="O13" s="34">
        <f t="shared" si="0"/>
        <v>-87</v>
      </c>
      <c r="P13" s="7" t="s">
        <v>10</v>
      </c>
      <c r="Q13" s="32">
        <f t="shared" si="1"/>
        <v>7</v>
      </c>
    </row>
    <row r="14" spans="1:17" x14ac:dyDescent="0.2">
      <c r="A14" s="34">
        <v>17</v>
      </c>
      <c r="B14" s="2" t="s">
        <v>2</v>
      </c>
      <c r="C14" s="23">
        <v>-34</v>
      </c>
      <c r="D14" s="26">
        <v>-20</v>
      </c>
      <c r="E14" s="23">
        <v>9</v>
      </c>
      <c r="F14" s="26">
        <v>40</v>
      </c>
      <c r="G14" s="23">
        <v>13</v>
      </c>
      <c r="H14" s="26">
        <v>0</v>
      </c>
      <c r="I14" s="23">
        <v>0</v>
      </c>
      <c r="J14" s="26">
        <v>-10</v>
      </c>
      <c r="K14" s="23">
        <v>-21</v>
      </c>
      <c r="L14" s="34">
        <v>-20</v>
      </c>
      <c r="M14" s="2"/>
      <c r="N14" s="7"/>
      <c r="O14" s="34">
        <f t="shared" si="0"/>
        <v>-43</v>
      </c>
      <c r="P14" s="7" t="s">
        <v>2</v>
      </c>
      <c r="Q14" s="32">
        <f t="shared" si="1"/>
        <v>8</v>
      </c>
    </row>
    <row r="15" spans="1:17" x14ac:dyDescent="0.2">
      <c r="A15" s="34">
        <v>22.6</v>
      </c>
      <c r="B15" s="2" t="s">
        <v>32</v>
      </c>
      <c r="C15" s="23"/>
      <c r="D15" s="26">
        <v>-20</v>
      </c>
      <c r="E15" s="23">
        <v>0</v>
      </c>
      <c r="F15" s="26">
        <v>-20</v>
      </c>
      <c r="G15" s="23"/>
      <c r="H15" s="26">
        <v>0</v>
      </c>
      <c r="I15" s="23">
        <v>0</v>
      </c>
      <c r="J15" s="26">
        <v>10</v>
      </c>
      <c r="K15" s="23">
        <v>0</v>
      </c>
      <c r="L15" s="34">
        <v>-20</v>
      </c>
      <c r="M15" s="2"/>
      <c r="N15" s="7">
        <v>-100</v>
      </c>
      <c r="O15" s="34">
        <f t="shared" si="0"/>
        <v>-150</v>
      </c>
      <c r="P15" s="7" t="s">
        <v>32</v>
      </c>
      <c r="Q15" s="32">
        <f t="shared" si="1"/>
        <v>0</v>
      </c>
    </row>
    <row r="16" spans="1:17" x14ac:dyDescent="0.2">
      <c r="A16" s="34">
        <v>9</v>
      </c>
      <c r="B16" s="2" t="s">
        <v>3</v>
      </c>
      <c r="C16" s="23">
        <v>28</v>
      </c>
      <c r="D16" s="26">
        <v>-20</v>
      </c>
      <c r="E16" s="23">
        <v>20</v>
      </c>
      <c r="F16" s="26">
        <v>-20</v>
      </c>
      <c r="G16" s="23">
        <v>28</v>
      </c>
      <c r="H16" s="26">
        <v>-20</v>
      </c>
      <c r="I16" s="23">
        <v>0</v>
      </c>
      <c r="J16" s="26">
        <v>-20</v>
      </c>
      <c r="K16" s="23">
        <v>-41</v>
      </c>
      <c r="L16" s="34">
        <v>-20</v>
      </c>
      <c r="M16" s="2">
        <v>40</v>
      </c>
      <c r="N16" s="7"/>
      <c r="O16" s="34">
        <f t="shared" si="0"/>
        <v>-25</v>
      </c>
      <c r="P16" s="58" t="s">
        <v>3</v>
      </c>
      <c r="Q16" s="32">
        <f t="shared" si="1"/>
        <v>20</v>
      </c>
    </row>
    <row r="17" spans="1:17" x14ac:dyDescent="0.2">
      <c r="A17" s="34">
        <v>16.7</v>
      </c>
      <c r="B17" s="2" t="s">
        <v>11</v>
      </c>
      <c r="C17" s="23">
        <v>8</v>
      </c>
      <c r="D17" s="26">
        <v>-20</v>
      </c>
      <c r="E17" s="23">
        <v>-4</v>
      </c>
      <c r="F17" s="26">
        <v>-20</v>
      </c>
      <c r="G17" s="23">
        <v>-4</v>
      </c>
      <c r="H17" s="26">
        <v>-20</v>
      </c>
      <c r="I17" s="23">
        <v>0</v>
      </c>
      <c r="J17" s="26">
        <v>-10</v>
      </c>
      <c r="K17" s="23">
        <v>30</v>
      </c>
      <c r="L17" s="34">
        <v>-20</v>
      </c>
      <c r="M17" s="2">
        <v>10</v>
      </c>
      <c r="N17" s="23"/>
      <c r="O17" s="34">
        <f t="shared" si="0"/>
        <v>-50</v>
      </c>
      <c r="P17" s="58" t="s">
        <v>11</v>
      </c>
      <c r="Q17" s="32">
        <f t="shared" si="1"/>
        <v>12</v>
      </c>
    </row>
    <row r="18" spans="1:17" x14ac:dyDescent="0.2">
      <c r="A18" s="35">
        <v>12.6</v>
      </c>
      <c r="B18" s="45" t="s">
        <v>33</v>
      </c>
      <c r="C18" s="27">
        <v>58</v>
      </c>
      <c r="D18" s="28">
        <v>40</v>
      </c>
      <c r="E18" s="27">
        <v>-15</v>
      </c>
      <c r="F18" s="28">
        <v>-20</v>
      </c>
      <c r="G18" s="27">
        <v>-34</v>
      </c>
      <c r="H18" s="28">
        <v>-20</v>
      </c>
      <c r="I18" s="27">
        <v>0</v>
      </c>
      <c r="J18" s="28">
        <v>-10</v>
      </c>
      <c r="K18" s="27">
        <v>-41</v>
      </c>
      <c r="L18" s="35">
        <v>-20</v>
      </c>
      <c r="M18" s="15"/>
      <c r="N18" s="53"/>
      <c r="O18" s="35">
        <f t="shared" si="0"/>
        <v>-62</v>
      </c>
      <c r="P18" s="5" t="s">
        <v>33</v>
      </c>
      <c r="Q18" s="31">
        <f t="shared" si="1"/>
        <v>10</v>
      </c>
    </row>
    <row r="19" spans="1:17" s="60" customFormat="1" x14ac:dyDescent="0.2">
      <c r="A19" s="61"/>
      <c r="B19" s="62"/>
      <c r="C19" s="61">
        <f>SUM(C7:C18)</f>
        <v>-105</v>
      </c>
      <c r="D19" s="61"/>
      <c r="E19" s="61">
        <f>SUM(E7:E18)</f>
        <v>-116</v>
      </c>
      <c r="F19" s="61"/>
      <c r="G19" s="61">
        <f>SUM(G7:G18)</f>
        <v>-85</v>
      </c>
      <c r="H19" s="61"/>
      <c r="I19" s="61">
        <f>SUM(I7:I18)</f>
        <v>0</v>
      </c>
      <c r="J19" s="61">
        <f>SUM(J7:J18)</f>
        <v>-120</v>
      </c>
      <c r="K19" s="61">
        <f>SUM(K7:K18)</f>
        <v>-88</v>
      </c>
      <c r="L19" s="61">
        <f>SUM(L7:L18)</f>
        <v>-240</v>
      </c>
      <c r="M19" s="62">
        <f>SUM(M7:M18)</f>
        <v>120</v>
      </c>
      <c r="O19" s="61">
        <f>SUM(O7:O18)</f>
        <v>-1144</v>
      </c>
      <c r="P19" s="62"/>
      <c r="Q19" s="62"/>
    </row>
    <row r="20" spans="1:17" ht="17" customHeight="1" x14ac:dyDescent="0.2">
      <c r="A20" s="12"/>
      <c r="B20" s="13"/>
      <c r="C20" s="22"/>
      <c r="D20" s="24"/>
      <c r="E20" s="22"/>
      <c r="F20" s="24"/>
      <c r="G20" s="22"/>
      <c r="H20" s="24"/>
      <c r="I20" s="22"/>
      <c r="J20" s="25"/>
      <c r="K20" s="42"/>
      <c r="L20" s="42"/>
      <c r="M20" s="39"/>
      <c r="N20" s="39"/>
      <c r="O20" s="42"/>
    </row>
    <row r="21" spans="1:17" x14ac:dyDescent="0.2">
      <c r="A21" s="7"/>
      <c r="B21" s="1" t="s">
        <v>12</v>
      </c>
      <c r="C21" s="23">
        <v>105</v>
      </c>
      <c r="D21" s="26">
        <v>120</v>
      </c>
      <c r="E21" s="23">
        <v>117</v>
      </c>
      <c r="F21" s="26">
        <v>120</v>
      </c>
      <c r="G21" s="23">
        <v>85</v>
      </c>
      <c r="H21" s="26">
        <v>120</v>
      </c>
      <c r="I21" s="23">
        <v>0</v>
      </c>
      <c r="J21" s="26">
        <v>120</v>
      </c>
      <c r="K21" s="34">
        <v>88</v>
      </c>
      <c r="L21" s="34">
        <v>120</v>
      </c>
      <c r="M21" s="34"/>
      <c r="N21" s="34">
        <v>150</v>
      </c>
      <c r="O21" s="34">
        <f>SUM(C21:N21)</f>
        <v>1145</v>
      </c>
    </row>
    <row r="22" spans="1:17" ht="17" customHeight="1" x14ac:dyDescent="0.2">
      <c r="A22" s="5"/>
      <c r="B22" s="15"/>
      <c r="C22" s="27"/>
      <c r="D22" s="28"/>
      <c r="E22" s="27"/>
      <c r="F22" s="28"/>
      <c r="G22" s="27"/>
      <c r="H22" s="28"/>
      <c r="I22" s="27"/>
      <c r="J22" s="29"/>
      <c r="K22" s="30"/>
      <c r="L22" s="30"/>
      <c r="M22" s="40"/>
      <c r="N22" s="40"/>
      <c r="O22" s="30"/>
      <c r="P22" s="41" t="s">
        <v>37</v>
      </c>
    </row>
    <row r="23" spans="1:17" ht="17" customHeight="1" x14ac:dyDescent="0.2">
      <c r="P23" s="41" t="s">
        <v>24</v>
      </c>
      <c r="Q23" s="2">
        <v>10</v>
      </c>
    </row>
    <row r="24" spans="1:17" ht="17" customHeight="1" x14ac:dyDescent="0.2">
      <c r="P24" s="41" t="s">
        <v>38</v>
      </c>
      <c r="Q24" s="2">
        <v>6</v>
      </c>
    </row>
    <row r="25" spans="1:17" ht="17" customHeight="1" x14ac:dyDescent="0.2">
      <c r="P25" s="41" t="s">
        <v>39</v>
      </c>
      <c r="Q25" s="2">
        <v>4</v>
      </c>
    </row>
    <row r="26" spans="1:17" ht="17" customHeight="1" x14ac:dyDescent="0.2">
      <c r="P26" s="41" t="s">
        <v>40</v>
      </c>
      <c r="Q26" s="2">
        <v>3</v>
      </c>
    </row>
    <row r="27" spans="1:17" ht="17" customHeight="1" x14ac:dyDescent="0.2">
      <c r="P27" s="41" t="s">
        <v>41</v>
      </c>
      <c r="Q27" s="2">
        <v>2</v>
      </c>
    </row>
    <row r="28" spans="1:17" ht="17" customHeight="1" x14ac:dyDescent="0.2">
      <c r="B28" s="19" t="s">
        <v>43</v>
      </c>
      <c r="C28" s="20"/>
      <c r="D28" s="20"/>
      <c r="P28" s="41" t="s">
        <v>42</v>
      </c>
      <c r="Q28" s="2">
        <v>1</v>
      </c>
    </row>
    <row r="29" spans="1:17" ht="17" customHeight="1" x14ac:dyDescent="0.2">
      <c r="P29" s="41"/>
      <c r="Q29" s="2"/>
    </row>
    <row r="30" spans="1:17" ht="17" customHeight="1" x14ac:dyDescent="0.2">
      <c r="A30" s="12"/>
      <c r="B30" s="13" t="s">
        <v>6</v>
      </c>
      <c r="C30" s="4">
        <v>10</v>
      </c>
      <c r="D30" s="21"/>
      <c r="E30" s="46" t="s">
        <v>12</v>
      </c>
      <c r="F30" s="18">
        <f>E32+F32+G32</f>
        <v>104.99999999999991</v>
      </c>
      <c r="L30" s="46" t="s">
        <v>12</v>
      </c>
      <c r="M30" s="18">
        <f>L32+M32+N32</f>
        <v>120</v>
      </c>
      <c r="O30" s="41"/>
      <c r="Q30" s="2"/>
    </row>
    <row r="31" spans="1:17" ht="17" customHeight="1" x14ac:dyDescent="0.2">
      <c r="A31" s="49">
        <f>SUM(C35:C46)/$C$30</f>
        <v>25.4</v>
      </c>
      <c r="B31" s="1" t="s">
        <v>5</v>
      </c>
      <c r="C31" s="50">
        <f>A31</f>
        <v>25.4</v>
      </c>
      <c r="D31" s="8"/>
      <c r="E31" s="7"/>
      <c r="F31" s="8"/>
      <c r="L31" s="53"/>
      <c r="M31" s="9"/>
      <c r="O31" s="41"/>
      <c r="Q31" s="2"/>
    </row>
    <row r="32" spans="1:17" ht="17" customHeight="1" x14ac:dyDescent="0.2">
      <c r="A32" s="51"/>
      <c r="B32" s="15"/>
      <c r="C32" s="52"/>
      <c r="D32" s="6"/>
      <c r="E32" s="47">
        <f>SUM(E35:E46)</f>
        <v>209.99999999999994</v>
      </c>
      <c r="F32" s="48">
        <f>SUM(F35:F46)</f>
        <v>-105.00000000000003</v>
      </c>
      <c r="I32" s="63" t="s">
        <v>13</v>
      </c>
      <c r="J32" s="65"/>
      <c r="K32" s="65"/>
      <c r="L32" s="17">
        <f>SUM(L35:L46)</f>
        <v>240</v>
      </c>
      <c r="M32" s="18">
        <f>SUM(M35:M46)</f>
        <v>-120</v>
      </c>
      <c r="N32" s="2"/>
      <c r="O32" s="41"/>
    </row>
    <row r="33" spans="1:18" ht="17" customHeight="1" x14ac:dyDescent="0.2">
      <c r="A33" s="11" t="s">
        <v>28</v>
      </c>
      <c r="B33" s="39"/>
      <c r="C33" s="11" t="s">
        <v>4</v>
      </c>
      <c r="D33" s="11" t="s">
        <v>30</v>
      </c>
      <c r="E33" s="47" t="s">
        <v>8</v>
      </c>
      <c r="F33" s="48" t="s">
        <v>7</v>
      </c>
      <c r="I33" s="7"/>
      <c r="J33" s="2" t="s">
        <v>14</v>
      </c>
      <c r="K33" s="2" t="s">
        <v>24</v>
      </c>
      <c r="L33" s="5" t="s">
        <v>8</v>
      </c>
      <c r="M33" s="6" t="s">
        <v>7</v>
      </c>
      <c r="N33" s="2"/>
      <c r="O33" s="41"/>
    </row>
    <row r="34" spans="1:18" ht="17" customHeight="1" x14ac:dyDescent="0.2">
      <c r="A34" s="32" t="s">
        <v>29</v>
      </c>
      <c r="B34" s="10"/>
      <c r="C34" s="31"/>
      <c r="D34" s="31"/>
      <c r="E34" s="5"/>
      <c r="F34" s="6"/>
      <c r="H34" s="16" t="s">
        <v>30</v>
      </c>
      <c r="I34" s="12"/>
      <c r="J34" s="4">
        <v>32</v>
      </c>
      <c r="K34" s="54" t="s">
        <v>48</v>
      </c>
      <c r="L34" s="14"/>
      <c r="M34" s="21"/>
      <c r="N34" s="2"/>
      <c r="O34" s="41"/>
      <c r="P34" s="60"/>
    </row>
    <row r="35" spans="1:18" ht="17" customHeight="1" x14ac:dyDescent="0.2">
      <c r="A35" s="11">
        <v>4</v>
      </c>
      <c r="B35" s="4" t="s">
        <v>1</v>
      </c>
      <c r="C35" s="11">
        <v>27</v>
      </c>
      <c r="D35" s="43">
        <f>(C35-$C$31)*$C$30</f>
        <v>16.000000000000014</v>
      </c>
      <c r="E35" s="12">
        <f>IF(D35&lt;1,-D35,0)</f>
        <v>0</v>
      </c>
      <c r="F35" s="21">
        <f>IF(D35&lt;1,0,-D35/2)</f>
        <v>-8.0000000000000071</v>
      </c>
      <c r="I35" s="12"/>
      <c r="J35" s="4">
        <v>65</v>
      </c>
      <c r="K35" s="4" t="s">
        <v>49</v>
      </c>
      <c r="L35" s="7">
        <v>20</v>
      </c>
      <c r="M35" s="8"/>
      <c r="N35" s="11" t="s">
        <v>1</v>
      </c>
      <c r="O35" s="1">
        <f t="shared" ref="O35:O36" si="2">-L35+(-M35)</f>
        <v>-20</v>
      </c>
    </row>
    <row r="36" spans="1:18" ht="17" customHeight="1" x14ac:dyDescent="0.2">
      <c r="A36" s="32"/>
      <c r="B36" s="2" t="s">
        <v>0</v>
      </c>
      <c r="C36" s="32">
        <v>21</v>
      </c>
      <c r="D36" s="44">
        <f>(C36-$C$31)*$C$30</f>
        <v>-43.999999999999986</v>
      </c>
      <c r="E36" s="7">
        <f t="shared" ref="E36:E46" si="3">IF(D36&lt;1,-D36,0)</f>
        <v>43.999999999999986</v>
      </c>
      <c r="F36" s="8">
        <f>IF(D36&lt;1,0,-D36/2)</f>
        <v>0</v>
      </c>
      <c r="I36" s="7"/>
      <c r="J36" s="2">
        <v>54</v>
      </c>
      <c r="K36" s="2" t="s">
        <v>50</v>
      </c>
      <c r="L36" s="7">
        <v>20</v>
      </c>
      <c r="M36" s="8"/>
      <c r="N36" s="32" t="s">
        <v>0</v>
      </c>
      <c r="O36" s="1">
        <f t="shared" si="2"/>
        <v>-20</v>
      </c>
    </row>
    <row r="37" spans="1:18" ht="17" customHeight="1" x14ac:dyDescent="0.2">
      <c r="A37" s="32"/>
      <c r="B37" s="2" t="s">
        <v>9</v>
      </c>
      <c r="C37" s="32">
        <v>17</v>
      </c>
      <c r="D37" s="44">
        <f t="shared" ref="D37:D46" si="4">(C37-$C$31)*$C$30</f>
        <v>-83.999999999999986</v>
      </c>
      <c r="E37" s="7">
        <f t="shared" si="3"/>
        <v>83.999999999999986</v>
      </c>
      <c r="F37" s="8">
        <f t="shared" ref="F37:F46" si="5">IF(D37&lt;1,0,-D37/2)</f>
        <v>0</v>
      </c>
      <c r="I37" s="7"/>
      <c r="J37" s="55">
        <v>32</v>
      </c>
      <c r="K37" s="2" t="s">
        <v>51</v>
      </c>
      <c r="L37" s="7">
        <v>20</v>
      </c>
      <c r="M37" s="8">
        <v>-60</v>
      </c>
      <c r="N37" s="32" t="s">
        <v>9</v>
      </c>
      <c r="O37" s="1">
        <f>-L37+(-M37)</f>
        <v>40</v>
      </c>
    </row>
    <row r="38" spans="1:18" ht="17" customHeight="1" x14ac:dyDescent="0.2">
      <c r="A38" s="32"/>
      <c r="B38" s="2" t="s">
        <v>34</v>
      </c>
      <c r="C38" s="32"/>
      <c r="D38" s="44"/>
      <c r="E38" s="7">
        <f t="shared" si="3"/>
        <v>0</v>
      </c>
      <c r="F38" s="8">
        <f t="shared" si="5"/>
        <v>0</v>
      </c>
      <c r="I38" s="7"/>
      <c r="J38" s="2">
        <v>111</v>
      </c>
      <c r="K38" s="2" t="s">
        <v>52</v>
      </c>
      <c r="L38" s="7">
        <v>20</v>
      </c>
      <c r="M38" s="8"/>
      <c r="N38" s="32" t="s">
        <v>34</v>
      </c>
      <c r="O38" s="1">
        <f t="shared" ref="O38:O46" si="6">-L38+(-M38)</f>
        <v>-20</v>
      </c>
    </row>
    <row r="39" spans="1:18" ht="17" customHeight="1" x14ac:dyDescent="0.2">
      <c r="A39" s="32"/>
      <c r="B39" s="2" t="s">
        <v>35</v>
      </c>
      <c r="C39" s="32">
        <v>22</v>
      </c>
      <c r="D39" s="44">
        <f t="shared" si="4"/>
        <v>-33.999999999999986</v>
      </c>
      <c r="E39" s="7">
        <f t="shared" si="3"/>
        <v>33.999999999999986</v>
      </c>
      <c r="F39" s="8">
        <f t="shared" si="5"/>
        <v>0</v>
      </c>
      <c r="I39" s="7"/>
      <c r="J39" s="2">
        <v>22</v>
      </c>
      <c r="K39" s="2" t="s">
        <v>50</v>
      </c>
      <c r="L39" s="7">
        <v>20</v>
      </c>
      <c r="M39" s="8"/>
      <c r="N39" s="32" t="s">
        <v>35</v>
      </c>
      <c r="O39" s="1">
        <f t="shared" si="6"/>
        <v>-20</v>
      </c>
      <c r="R39" s="60"/>
    </row>
    <row r="40" spans="1:18" ht="17" customHeight="1" x14ac:dyDescent="0.2">
      <c r="A40" s="32">
        <v>2</v>
      </c>
      <c r="B40" s="2" t="s">
        <v>36</v>
      </c>
      <c r="C40" s="32">
        <v>26</v>
      </c>
      <c r="D40" s="44">
        <f t="shared" si="4"/>
        <v>6.0000000000000142</v>
      </c>
      <c r="E40" s="7">
        <f t="shared" si="3"/>
        <v>0</v>
      </c>
      <c r="F40" s="8">
        <f t="shared" si="5"/>
        <v>-3.0000000000000071</v>
      </c>
      <c r="I40" s="7"/>
      <c r="J40" s="2">
        <v>12</v>
      </c>
      <c r="K40" s="2" t="s">
        <v>53</v>
      </c>
      <c r="L40" s="7">
        <v>20</v>
      </c>
      <c r="M40" s="8"/>
      <c r="N40" s="32" t="s">
        <v>36</v>
      </c>
      <c r="O40" s="1">
        <f t="shared" si="6"/>
        <v>-20</v>
      </c>
      <c r="R40" s="60"/>
    </row>
    <row r="41" spans="1:18" ht="17" customHeight="1" x14ac:dyDescent="0.2">
      <c r="A41" s="32">
        <v>1</v>
      </c>
      <c r="B41" s="2" t="s">
        <v>10</v>
      </c>
      <c r="C41" s="32">
        <v>24</v>
      </c>
      <c r="D41" s="44">
        <f t="shared" si="4"/>
        <v>-13.999999999999986</v>
      </c>
      <c r="E41" s="7">
        <f t="shared" si="3"/>
        <v>13.999999999999986</v>
      </c>
      <c r="F41" s="8">
        <f t="shared" si="5"/>
        <v>0</v>
      </c>
      <c r="I41" s="7"/>
      <c r="J41" s="2">
        <v>21</v>
      </c>
      <c r="K41" s="2" t="s">
        <v>50</v>
      </c>
      <c r="L41" s="7">
        <v>20</v>
      </c>
      <c r="M41" s="8"/>
      <c r="N41" s="32" t="s">
        <v>10</v>
      </c>
      <c r="O41" s="1">
        <f t="shared" si="6"/>
        <v>-20</v>
      </c>
    </row>
    <row r="42" spans="1:18" ht="17" customHeight="1" x14ac:dyDescent="0.2">
      <c r="A42" s="32"/>
      <c r="B42" s="2" t="s">
        <v>2</v>
      </c>
      <c r="C42" s="32">
        <v>22</v>
      </c>
      <c r="D42" s="44">
        <f t="shared" si="4"/>
        <v>-33.999999999999986</v>
      </c>
      <c r="E42" s="7">
        <f t="shared" si="3"/>
        <v>33.999999999999986</v>
      </c>
      <c r="F42" s="8">
        <f t="shared" si="5"/>
        <v>0</v>
      </c>
      <c r="I42" s="7"/>
      <c r="J42" s="2">
        <v>17</v>
      </c>
      <c r="K42" s="2" t="s">
        <v>54</v>
      </c>
      <c r="L42" s="7">
        <v>20</v>
      </c>
      <c r="M42" s="8"/>
      <c r="N42" s="32" t="s">
        <v>2</v>
      </c>
      <c r="O42" s="1">
        <f t="shared" si="6"/>
        <v>-20</v>
      </c>
    </row>
    <row r="43" spans="1:18" ht="17" customHeight="1" x14ac:dyDescent="0.2">
      <c r="A43" s="32"/>
      <c r="B43" s="2" t="s">
        <v>32</v>
      </c>
      <c r="C43" s="32"/>
      <c r="D43" s="44"/>
      <c r="E43" s="7">
        <f t="shared" si="3"/>
        <v>0</v>
      </c>
      <c r="F43" s="8">
        <f t="shared" si="5"/>
        <v>0</v>
      </c>
      <c r="I43" s="7"/>
      <c r="J43" s="2">
        <v>58</v>
      </c>
      <c r="K43" s="2" t="s">
        <v>55</v>
      </c>
      <c r="L43" s="7">
        <v>20</v>
      </c>
      <c r="M43" s="8"/>
      <c r="N43" s="32" t="s">
        <v>32</v>
      </c>
      <c r="O43" s="1">
        <f t="shared" si="6"/>
        <v>-20</v>
      </c>
    </row>
    <row r="44" spans="1:18" ht="17" customHeight="1" x14ac:dyDescent="0.2">
      <c r="A44" s="32">
        <v>6</v>
      </c>
      <c r="B44" s="2" t="s">
        <v>3</v>
      </c>
      <c r="C44" s="32">
        <v>31</v>
      </c>
      <c r="D44" s="44">
        <f t="shared" si="4"/>
        <v>56.000000000000014</v>
      </c>
      <c r="E44" s="7">
        <f t="shared" si="3"/>
        <v>0</v>
      </c>
      <c r="F44" s="8">
        <f t="shared" si="5"/>
        <v>-28.000000000000007</v>
      </c>
      <c r="I44" s="7"/>
      <c r="J44" s="2">
        <v>69</v>
      </c>
      <c r="K44" s="2" t="s">
        <v>56</v>
      </c>
      <c r="L44" s="7">
        <v>20</v>
      </c>
      <c r="M44" s="8"/>
      <c r="N44" s="32" t="s">
        <v>3</v>
      </c>
      <c r="O44" s="1">
        <f t="shared" si="6"/>
        <v>-20</v>
      </c>
    </row>
    <row r="45" spans="1:18" ht="17" customHeight="1" x14ac:dyDescent="0.2">
      <c r="A45" s="32">
        <v>4</v>
      </c>
      <c r="B45" s="2" t="s">
        <v>11</v>
      </c>
      <c r="C45" s="32">
        <v>27</v>
      </c>
      <c r="D45" s="44">
        <f t="shared" si="4"/>
        <v>16.000000000000014</v>
      </c>
      <c r="E45" s="7">
        <f t="shared" si="3"/>
        <v>0</v>
      </c>
      <c r="F45" s="8">
        <f t="shared" si="5"/>
        <v>-8.0000000000000071</v>
      </c>
      <c r="I45" s="7"/>
      <c r="J45" s="2">
        <v>29</v>
      </c>
      <c r="K45" s="2" t="s">
        <v>57</v>
      </c>
      <c r="L45" s="7">
        <v>20</v>
      </c>
      <c r="M45" s="8"/>
      <c r="N45" s="32" t="s">
        <v>11</v>
      </c>
      <c r="O45" s="1">
        <f>-L45+(-M45)</f>
        <v>-20</v>
      </c>
    </row>
    <row r="46" spans="1:18" ht="17" customHeight="1" x14ac:dyDescent="0.2">
      <c r="A46" s="31">
        <v>10</v>
      </c>
      <c r="B46" s="45" t="s">
        <v>33</v>
      </c>
      <c r="C46" s="31">
        <v>37</v>
      </c>
      <c r="D46" s="38">
        <f t="shared" si="4"/>
        <v>116.00000000000001</v>
      </c>
      <c r="E46" s="5">
        <f t="shared" si="3"/>
        <v>0</v>
      </c>
      <c r="F46" s="6">
        <f t="shared" si="5"/>
        <v>-58.000000000000007</v>
      </c>
      <c r="I46" s="5"/>
      <c r="J46" s="45">
        <v>12</v>
      </c>
      <c r="K46" s="56" t="s">
        <v>58</v>
      </c>
      <c r="L46" s="5">
        <v>20</v>
      </c>
      <c r="M46" s="6">
        <v>-60</v>
      </c>
      <c r="N46" s="31" t="s">
        <v>33</v>
      </c>
      <c r="O46" s="1">
        <f t="shared" si="6"/>
        <v>40</v>
      </c>
    </row>
    <row r="47" spans="1:18" ht="17" customHeight="1" x14ac:dyDescent="0.2">
      <c r="J47" s="2"/>
      <c r="K47" s="2"/>
      <c r="L47" s="2"/>
      <c r="M47" s="2"/>
    </row>
    <row r="48" spans="1:18" ht="17" customHeight="1" x14ac:dyDescent="0.2">
      <c r="D48" s="2">
        <f>SUM(D35:D46)</f>
        <v>0</v>
      </c>
      <c r="E48" s="2">
        <f t="shared" ref="E48:F48" si="7">SUM(E35:E46)</f>
        <v>209.99999999999994</v>
      </c>
      <c r="F48" s="2">
        <f t="shared" si="7"/>
        <v>-105.00000000000003</v>
      </c>
      <c r="J48" s="2"/>
      <c r="K48" s="2"/>
      <c r="L48" s="2"/>
    </row>
    <row r="49" spans="1:15" ht="17" customHeight="1" x14ac:dyDescent="0.2"/>
    <row r="50" spans="1:15" ht="17" customHeight="1" x14ac:dyDescent="0.2"/>
    <row r="51" spans="1:15" ht="17" customHeight="1" x14ac:dyDescent="0.2">
      <c r="B51" s="19" t="s">
        <v>45</v>
      </c>
      <c r="C51" s="20"/>
      <c r="D51" s="20"/>
    </row>
    <row r="52" spans="1:15" ht="17" customHeight="1" x14ac:dyDescent="0.2"/>
    <row r="53" spans="1:15" ht="17" customHeight="1" x14ac:dyDescent="0.2">
      <c r="A53" s="12"/>
      <c r="B53" s="13" t="s">
        <v>6</v>
      </c>
      <c r="C53" s="4">
        <v>11</v>
      </c>
      <c r="D53" s="21"/>
      <c r="E53" s="46" t="s">
        <v>12</v>
      </c>
      <c r="F53" s="18">
        <f>E55+F55+G55</f>
        <v>116.5</v>
      </c>
      <c r="L53" s="46" t="s">
        <v>12</v>
      </c>
      <c r="M53" s="18">
        <f>L55+M55+N55</f>
        <v>120</v>
      </c>
      <c r="O53" s="41"/>
    </row>
    <row r="54" spans="1:15" ht="17" customHeight="1" x14ac:dyDescent="0.2">
      <c r="A54" s="49">
        <f>SUM(C58:C69)/$C$53</f>
        <v>28.363636363636363</v>
      </c>
      <c r="B54" s="1" t="s">
        <v>5</v>
      </c>
      <c r="C54" s="50">
        <f>A54</f>
        <v>28.363636363636363</v>
      </c>
      <c r="D54" s="8"/>
      <c r="E54" s="7"/>
      <c r="F54" s="8"/>
      <c r="L54" s="53"/>
      <c r="M54" s="9"/>
      <c r="O54" s="41"/>
    </row>
    <row r="55" spans="1:15" ht="17" customHeight="1" x14ac:dyDescent="0.2">
      <c r="A55" s="51"/>
      <c r="B55" s="15"/>
      <c r="C55" s="52"/>
      <c r="D55" s="6"/>
      <c r="E55" s="47">
        <f>SUM(E58:E69)</f>
        <v>233</v>
      </c>
      <c r="F55" s="48">
        <f>SUM(F58:F69)</f>
        <v>-116.5</v>
      </c>
      <c r="I55" s="63" t="s">
        <v>66</v>
      </c>
      <c r="J55" s="65"/>
      <c r="K55" s="65"/>
      <c r="L55" s="17">
        <f>SUM(L58:L69)</f>
        <v>240</v>
      </c>
      <c r="M55" s="18">
        <f>SUM(M58:M69)</f>
        <v>-120</v>
      </c>
      <c r="N55" s="2"/>
      <c r="O55" s="41"/>
    </row>
    <row r="56" spans="1:15" ht="17" customHeight="1" x14ac:dyDescent="0.2">
      <c r="A56" s="11" t="s">
        <v>28</v>
      </c>
      <c r="B56" s="39"/>
      <c r="C56" s="11" t="s">
        <v>4</v>
      </c>
      <c r="D56" s="11" t="s">
        <v>30</v>
      </c>
      <c r="E56" s="47" t="s">
        <v>8</v>
      </c>
      <c r="F56" s="48" t="s">
        <v>7</v>
      </c>
      <c r="I56" s="7"/>
      <c r="J56" s="2" t="s">
        <v>14</v>
      </c>
      <c r="K56" s="2" t="s">
        <v>24</v>
      </c>
      <c r="L56" s="5" t="s">
        <v>8</v>
      </c>
      <c r="M56" s="6" t="s">
        <v>7</v>
      </c>
      <c r="N56" s="2"/>
      <c r="O56" s="41"/>
    </row>
    <row r="57" spans="1:15" ht="17" customHeight="1" x14ac:dyDescent="0.2">
      <c r="A57" s="32" t="s">
        <v>29</v>
      </c>
      <c r="B57" s="10"/>
      <c r="C57" s="31"/>
      <c r="D57" s="32"/>
      <c r="E57" s="5"/>
      <c r="F57" s="6"/>
      <c r="H57" s="16" t="s">
        <v>30</v>
      </c>
      <c r="I57" s="12"/>
      <c r="J57" s="4">
        <v>3</v>
      </c>
      <c r="K57" s="4" t="s">
        <v>65</v>
      </c>
      <c r="L57" s="14"/>
      <c r="M57" s="21"/>
      <c r="N57" s="2"/>
      <c r="O57" s="41"/>
    </row>
    <row r="58" spans="1:15" ht="17" customHeight="1" x14ac:dyDescent="0.2">
      <c r="A58" s="11">
        <v>10</v>
      </c>
      <c r="B58" s="4" t="s">
        <v>1</v>
      </c>
      <c r="C58" s="12">
        <v>38</v>
      </c>
      <c r="D58" s="33">
        <f>(C58-$C$54)*$C$53</f>
        <v>106</v>
      </c>
      <c r="E58" s="4">
        <f>IF(D58&lt;1,-D58,0)</f>
        <v>0</v>
      </c>
      <c r="F58" s="21">
        <f>IF(D58&lt;1,0,-D58/2)</f>
        <v>-53</v>
      </c>
      <c r="I58" s="12"/>
      <c r="J58" s="4">
        <v>73</v>
      </c>
      <c r="K58" s="4" t="s">
        <v>62</v>
      </c>
      <c r="L58" s="7">
        <v>20</v>
      </c>
      <c r="M58" s="8"/>
      <c r="N58" s="11" t="s">
        <v>1</v>
      </c>
      <c r="O58" s="1">
        <f t="shared" ref="O58:O69" si="8">-L58+(-M58)</f>
        <v>-20</v>
      </c>
    </row>
    <row r="59" spans="1:15" ht="17" customHeight="1" x14ac:dyDescent="0.2">
      <c r="A59" s="32">
        <v>6</v>
      </c>
      <c r="B59" s="2" t="s">
        <v>0</v>
      </c>
      <c r="C59" s="7">
        <v>34</v>
      </c>
      <c r="D59" s="34">
        <f>(C59-$C$54)*$C$53</f>
        <v>62</v>
      </c>
      <c r="E59" s="2">
        <f t="shared" ref="E59:E69" si="9">IF(D59&lt;1,-D59,0)</f>
        <v>0</v>
      </c>
      <c r="F59" s="8">
        <f>IF(D59&lt;1,0,-D59/2)</f>
        <v>-31</v>
      </c>
      <c r="I59" s="7"/>
      <c r="J59" s="2">
        <v>38</v>
      </c>
      <c r="K59" s="2" t="s">
        <v>59</v>
      </c>
      <c r="L59" s="7">
        <v>20</v>
      </c>
      <c r="M59" s="8"/>
      <c r="N59" s="32" t="s">
        <v>0</v>
      </c>
      <c r="O59" s="1">
        <f t="shared" si="8"/>
        <v>-20</v>
      </c>
    </row>
    <row r="60" spans="1:15" ht="17" customHeight="1" x14ac:dyDescent="0.2">
      <c r="A60" s="32"/>
      <c r="B60" s="2" t="s">
        <v>9</v>
      </c>
      <c r="C60" s="7">
        <v>24</v>
      </c>
      <c r="D60" s="34">
        <f>(C60-$C$54)*$C$53</f>
        <v>-48</v>
      </c>
      <c r="E60" s="2">
        <f t="shared" si="9"/>
        <v>48</v>
      </c>
      <c r="F60" s="8">
        <f t="shared" ref="F60:F69" si="10">IF(D60&lt;1,0,-D60/2)</f>
        <v>0</v>
      </c>
      <c r="I60" s="7"/>
      <c r="J60" s="2">
        <v>27</v>
      </c>
      <c r="K60" s="2" t="s">
        <v>59</v>
      </c>
      <c r="L60" s="7">
        <v>20</v>
      </c>
      <c r="M60" s="8"/>
      <c r="N60" s="32" t="s">
        <v>9</v>
      </c>
      <c r="O60" s="1">
        <f t="shared" si="8"/>
        <v>-20</v>
      </c>
    </row>
    <row r="61" spans="1:15" ht="17" customHeight="1" x14ac:dyDescent="0.2">
      <c r="A61" s="32"/>
      <c r="B61" s="2" t="s">
        <v>34</v>
      </c>
      <c r="C61" s="7">
        <v>16</v>
      </c>
      <c r="D61" s="34">
        <f>(C61-$C$54)*$C$53</f>
        <v>-136</v>
      </c>
      <c r="E61" s="2">
        <f t="shared" si="9"/>
        <v>136</v>
      </c>
      <c r="F61" s="8">
        <f t="shared" si="10"/>
        <v>0</v>
      </c>
      <c r="I61" s="7"/>
      <c r="J61" s="2">
        <v>20</v>
      </c>
      <c r="K61" s="55" t="s">
        <v>65</v>
      </c>
      <c r="L61" s="7">
        <v>20</v>
      </c>
      <c r="M61" s="8">
        <v>-60</v>
      </c>
      <c r="N61" s="32" t="s">
        <v>34</v>
      </c>
      <c r="O61" s="1">
        <f t="shared" si="8"/>
        <v>40</v>
      </c>
    </row>
    <row r="62" spans="1:15" ht="17" customHeight="1" x14ac:dyDescent="0.2">
      <c r="A62" s="32"/>
      <c r="B62" s="2" t="s">
        <v>35</v>
      </c>
      <c r="C62" s="7">
        <v>27</v>
      </c>
      <c r="D62" s="34">
        <f>(C62-$C$54)*$C$53</f>
        <v>-14.999999999999996</v>
      </c>
      <c r="E62" s="2">
        <f t="shared" si="9"/>
        <v>14.999999999999996</v>
      </c>
      <c r="F62" s="8">
        <f t="shared" si="10"/>
        <v>0</v>
      </c>
      <c r="I62" s="7"/>
      <c r="J62" s="2">
        <v>20</v>
      </c>
      <c r="K62" s="2" t="s">
        <v>51</v>
      </c>
      <c r="L62" s="7">
        <v>20</v>
      </c>
      <c r="M62" s="8"/>
      <c r="N62" s="32" t="s">
        <v>35</v>
      </c>
      <c r="O62" s="1">
        <f t="shared" si="8"/>
        <v>-20</v>
      </c>
    </row>
    <row r="63" spans="1:15" ht="17" customHeight="1" x14ac:dyDescent="0.2">
      <c r="A63" s="32">
        <v>2</v>
      </c>
      <c r="B63" s="2" t="s">
        <v>36</v>
      </c>
      <c r="C63" s="7">
        <v>29</v>
      </c>
      <c r="D63" s="34">
        <f t="shared" ref="D63:D69" si="11">(C63-$C$54)*$C$53</f>
        <v>7.0000000000000036</v>
      </c>
      <c r="E63" s="2">
        <f t="shared" si="9"/>
        <v>0</v>
      </c>
      <c r="F63" s="8">
        <f t="shared" si="10"/>
        <v>-3.5000000000000018</v>
      </c>
      <c r="I63" s="7"/>
      <c r="J63" s="2">
        <v>20</v>
      </c>
      <c r="K63" s="2" t="s">
        <v>61</v>
      </c>
      <c r="L63" s="7">
        <v>20</v>
      </c>
      <c r="M63" s="8"/>
      <c r="N63" s="32" t="s">
        <v>36</v>
      </c>
      <c r="O63" s="1">
        <f t="shared" si="8"/>
        <v>-20</v>
      </c>
    </row>
    <row r="64" spans="1:15" ht="17" customHeight="1" x14ac:dyDescent="0.2">
      <c r="A64" s="32"/>
      <c r="B64" s="2" t="s">
        <v>10</v>
      </c>
      <c r="C64" s="7">
        <v>27</v>
      </c>
      <c r="D64" s="34">
        <f t="shared" si="11"/>
        <v>-14.999999999999996</v>
      </c>
      <c r="E64" s="2">
        <f t="shared" si="9"/>
        <v>14.999999999999996</v>
      </c>
      <c r="F64" s="8">
        <f t="shared" si="10"/>
        <v>0</v>
      </c>
      <c r="I64" s="7"/>
      <c r="J64" s="2">
        <v>21</v>
      </c>
      <c r="K64" s="2" t="s">
        <v>60</v>
      </c>
      <c r="L64" s="7">
        <v>20</v>
      </c>
      <c r="M64" s="8"/>
      <c r="N64" s="32" t="s">
        <v>10</v>
      </c>
      <c r="O64" s="1">
        <f t="shared" si="8"/>
        <v>-20</v>
      </c>
    </row>
    <row r="65" spans="1:15" ht="17" customHeight="1" x14ac:dyDescent="0.2">
      <c r="A65" s="32">
        <v>3</v>
      </c>
      <c r="B65" s="2" t="s">
        <v>2</v>
      </c>
      <c r="C65" s="7">
        <v>30</v>
      </c>
      <c r="D65" s="34">
        <f t="shared" si="11"/>
        <v>18.000000000000004</v>
      </c>
      <c r="E65" s="2">
        <f t="shared" si="9"/>
        <v>0</v>
      </c>
      <c r="F65" s="8">
        <f t="shared" si="10"/>
        <v>-9.0000000000000018</v>
      </c>
      <c r="I65" s="7"/>
      <c r="J65" s="55">
        <v>17</v>
      </c>
      <c r="K65" s="2" t="s">
        <v>63</v>
      </c>
      <c r="L65" s="7">
        <v>20</v>
      </c>
      <c r="M65" s="8">
        <v>-60</v>
      </c>
      <c r="N65" s="32" t="s">
        <v>2</v>
      </c>
      <c r="O65" s="1">
        <f t="shared" si="8"/>
        <v>40</v>
      </c>
    </row>
    <row r="66" spans="1:15" ht="17" customHeight="1" x14ac:dyDescent="0.2">
      <c r="A66" s="32"/>
      <c r="B66" s="2" t="s">
        <v>32</v>
      </c>
      <c r="C66" s="7">
        <v>0</v>
      </c>
      <c r="D66" s="34"/>
      <c r="E66" s="2">
        <f t="shared" si="9"/>
        <v>0</v>
      </c>
      <c r="F66" s="8">
        <f t="shared" si="10"/>
        <v>0</v>
      </c>
      <c r="I66" s="7"/>
      <c r="J66" s="2">
        <v>28</v>
      </c>
      <c r="K66" s="2" t="s">
        <v>54</v>
      </c>
      <c r="L66" s="7">
        <v>20</v>
      </c>
      <c r="M66" s="8"/>
      <c r="N66" s="32" t="s">
        <v>32</v>
      </c>
      <c r="O66" s="1">
        <f>-L66+(-M66)</f>
        <v>-20</v>
      </c>
    </row>
    <row r="67" spans="1:15" ht="17" customHeight="1" x14ac:dyDescent="0.2">
      <c r="A67" s="32">
        <v>4</v>
      </c>
      <c r="B67" s="2" t="s">
        <v>3</v>
      </c>
      <c r="C67" s="7">
        <v>32</v>
      </c>
      <c r="D67" s="34">
        <f t="shared" si="11"/>
        <v>40</v>
      </c>
      <c r="E67" s="2">
        <f t="shared" si="9"/>
        <v>0</v>
      </c>
      <c r="F67" s="8">
        <f t="shared" si="10"/>
        <v>-20</v>
      </c>
      <c r="I67" s="7"/>
      <c r="J67" s="2">
        <v>69</v>
      </c>
      <c r="K67" s="2" t="s">
        <v>64</v>
      </c>
      <c r="L67" s="7">
        <v>20</v>
      </c>
      <c r="M67" s="8"/>
      <c r="N67" s="32" t="s">
        <v>3</v>
      </c>
      <c r="O67" s="1">
        <f t="shared" si="8"/>
        <v>-20</v>
      </c>
    </row>
    <row r="68" spans="1:15" ht="17" customHeight="1" x14ac:dyDescent="0.2">
      <c r="A68" s="32">
        <v>1</v>
      </c>
      <c r="B68" s="2" t="s">
        <v>11</v>
      </c>
      <c r="C68" s="7">
        <v>28</v>
      </c>
      <c r="D68" s="34">
        <f t="shared" si="11"/>
        <v>-3.9999999999999964</v>
      </c>
      <c r="E68" s="2">
        <f t="shared" si="9"/>
        <v>3.9999999999999964</v>
      </c>
      <c r="F68" s="8">
        <f t="shared" si="10"/>
        <v>0</v>
      </c>
      <c r="I68" s="7"/>
      <c r="J68" s="2">
        <v>18</v>
      </c>
      <c r="K68" s="2" t="s">
        <v>58</v>
      </c>
      <c r="L68" s="7">
        <v>20</v>
      </c>
      <c r="M68" s="8"/>
      <c r="N68" s="32" t="s">
        <v>11</v>
      </c>
      <c r="O68" s="1">
        <f t="shared" si="8"/>
        <v>-20</v>
      </c>
    </row>
    <row r="69" spans="1:15" ht="17" customHeight="1" x14ac:dyDescent="0.2">
      <c r="A69" s="31"/>
      <c r="B69" s="45" t="s">
        <v>33</v>
      </c>
      <c r="C69" s="5">
        <v>27</v>
      </c>
      <c r="D69" s="35">
        <f t="shared" si="11"/>
        <v>-14.999999999999996</v>
      </c>
      <c r="E69" s="45">
        <f t="shared" si="9"/>
        <v>14.999999999999996</v>
      </c>
      <c r="F69" s="6">
        <f t="shared" si="10"/>
        <v>0</v>
      </c>
      <c r="I69" s="5"/>
      <c r="J69" s="45">
        <v>20</v>
      </c>
      <c r="K69" s="45" t="s">
        <v>58</v>
      </c>
      <c r="L69" s="5">
        <v>20</v>
      </c>
      <c r="M69" s="6"/>
      <c r="N69" s="31" t="s">
        <v>33</v>
      </c>
      <c r="O69" s="1">
        <f t="shared" si="8"/>
        <v>-20</v>
      </c>
    </row>
    <row r="70" spans="1:15" ht="17" customHeight="1" x14ac:dyDescent="0.2">
      <c r="J70" s="2"/>
      <c r="K70" s="2"/>
      <c r="L70" s="2"/>
      <c r="M70" s="2"/>
    </row>
    <row r="71" spans="1:15" ht="17" customHeight="1" x14ac:dyDescent="0.2">
      <c r="D71" s="2">
        <f>SUM(D58:D69)</f>
        <v>2.4868995751603507E-14</v>
      </c>
      <c r="E71" s="2">
        <f t="shared" ref="E71:F71" si="12">SUM(E58:E69)</f>
        <v>233</v>
      </c>
      <c r="F71" s="2">
        <f t="shared" si="12"/>
        <v>-116.5</v>
      </c>
      <c r="J71" s="2"/>
      <c r="K71" s="2"/>
      <c r="L71" s="2"/>
    </row>
    <row r="72" spans="1:15" ht="17" customHeight="1" x14ac:dyDescent="0.2"/>
    <row r="73" spans="1:15" ht="17" customHeight="1" x14ac:dyDescent="0.2"/>
    <row r="74" spans="1:15" ht="17" customHeight="1" x14ac:dyDescent="0.2">
      <c r="B74" s="19" t="s">
        <v>46</v>
      </c>
      <c r="C74" s="20"/>
      <c r="D74" s="20"/>
    </row>
    <row r="75" spans="1:15" ht="17" customHeight="1" x14ac:dyDescent="0.2"/>
    <row r="76" spans="1:15" ht="17" customHeight="1" x14ac:dyDescent="0.2">
      <c r="A76" s="12"/>
      <c r="B76" s="13" t="s">
        <v>6</v>
      </c>
      <c r="C76" s="4">
        <v>10</v>
      </c>
      <c r="D76" s="21"/>
      <c r="E76" s="46" t="s">
        <v>12</v>
      </c>
      <c r="F76" s="18">
        <f>E78+F78+G78</f>
        <v>84.999999999999915</v>
      </c>
      <c r="L76" s="46" t="s">
        <v>12</v>
      </c>
      <c r="M76" s="18">
        <f>L78+M78+N78</f>
        <v>120</v>
      </c>
      <c r="O76" s="41"/>
    </row>
    <row r="77" spans="1:15" ht="17" customHeight="1" x14ac:dyDescent="0.2">
      <c r="A77" s="49">
        <f>SUM(C81:C92)/$C$30</f>
        <v>31.4</v>
      </c>
      <c r="B77" s="1" t="s">
        <v>5</v>
      </c>
      <c r="C77" s="50">
        <f>A77</f>
        <v>31.4</v>
      </c>
      <c r="D77" s="8"/>
      <c r="E77" s="7"/>
      <c r="F77" s="8"/>
      <c r="L77" s="53"/>
      <c r="M77" s="9"/>
      <c r="O77" s="41"/>
    </row>
    <row r="78" spans="1:15" ht="17" customHeight="1" x14ac:dyDescent="0.2">
      <c r="A78" s="51"/>
      <c r="B78" s="15"/>
      <c r="C78" s="52"/>
      <c r="D78" s="6"/>
      <c r="E78" s="47">
        <f>SUM(E81:E92)</f>
        <v>169.99999999999994</v>
      </c>
      <c r="F78" s="48">
        <f>SUM(F81:F92)</f>
        <v>-85.000000000000028</v>
      </c>
      <c r="I78" s="63" t="s">
        <v>67</v>
      </c>
      <c r="J78" s="65"/>
      <c r="K78" s="65"/>
      <c r="L78" s="17">
        <f>SUM(L81:L92)</f>
        <v>240</v>
      </c>
      <c r="M78" s="18">
        <f>SUM(M81:M92)</f>
        <v>-120</v>
      </c>
      <c r="N78" s="2"/>
      <c r="O78" s="41"/>
    </row>
    <row r="79" spans="1:15" ht="17" customHeight="1" x14ac:dyDescent="0.2">
      <c r="A79" s="11" t="s">
        <v>28</v>
      </c>
      <c r="B79" s="39"/>
      <c r="C79" s="11" t="s">
        <v>4</v>
      </c>
      <c r="D79" s="11" t="s">
        <v>30</v>
      </c>
      <c r="E79" s="47" t="s">
        <v>8</v>
      </c>
      <c r="F79" s="48" t="s">
        <v>7</v>
      </c>
      <c r="I79" s="7"/>
      <c r="J79" s="2" t="s">
        <v>14</v>
      </c>
      <c r="K79" s="2" t="s">
        <v>24</v>
      </c>
      <c r="L79" s="5" t="s">
        <v>8</v>
      </c>
      <c r="M79" s="6" t="s">
        <v>7</v>
      </c>
      <c r="N79" s="2"/>
      <c r="O79" s="41"/>
    </row>
    <row r="80" spans="1:15" ht="17" customHeight="1" x14ac:dyDescent="0.2">
      <c r="A80" s="32" t="s">
        <v>29</v>
      </c>
      <c r="B80" s="10"/>
      <c r="C80" s="31"/>
      <c r="D80" s="32"/>
      <c r="E80" s="5"/>
      <c r="F80" s="6"/>
      <c r="H80" s="16" t="s">
        <v>30</v>
      </c>
      <c r="I80" s="12"/>
      <c r="J80" s="4">
        <v>4</v>
      </c>
      <c r="K80" s="4" t="s">
        <v>69</v>
      </c>
      <c r="L80" s="14"/>
      <c r="M80" s="21"/>
      <c r="N80" s="2"/>
      <c r="O80" s="41"/>
    </row>
    <row r="81" spans="1:15" ht="17" customHeight="1" x14ac:dyDescent="0.2">
      <c r="A81" s="11">
        <v>4</v>
      </c>
      <c r="B81" s="4" t="s">
        <v>1</v>
      </c>
      <c r="C81" s="12">
        <v>34</v>
      </c>
      <c r="D81" s="33">
        <f>(C81-$C$77)*$C$76</f>
        <v>26.000000000000014</v>
      </c>
      <c r="E81" s="4">
        <f>IF(D81&lt;1,-D81,0)</f>
        <v>0</v>
      </c>
      <c r="F81" s="21">
        <f>IF(D81&lt;1,0,-D81/2)</f>
        <v>-13.000000000000007</v>
      </c>
      <c r="I81" s="12"/>
      <c r="J81" s="4">
        <v>45</v>
      </c>
      <c r="K81" s="4" t="s">
        <v>59</v>
      </c>
      <c r="L81" s="7">
        <v>20</v>
      </c>
      <c r="M81" s="8"/>
      <c r="N81" s="11" t="s">
        <v>1</v>
      </c>
      <c r="O81" s="1">
        <f t="shared" ref="O81:O92" si="13">-L81+(-M81)</f>
        <v>-20</v>
      </c>
    </row>
    <row r="82" spans="1:15" ht="17" customHeight="1" x14ac:dyDescent="0.2">
      <c r="A82" s="32"/>
      <c r="B82" s="2" t="s">
        <v>0</v>
      </c>
      <c r="C82" s="7">
        <v>26</v>
      </c>
      <c r="D82" s="34">
        <f t="shared" ref="D82:D92" si="14">(C82-$C$77)*$C$76</f>
        <v>-53.999999999999986</v>
      </c>
      <c r="E82" s="2">
        <f t="shared" ref="E82:E92" si="15">IF(D82&lt;1,-D82,0)</f>
        <v>53.999999999999986</v>
      </c>
      <c r="F82" s="8">
        <f>IF(D82&lt;1,0,-D82/2)</f>
        <v>0</v>
      </c>
      <c r="I82" s="7"/>
      <c r="J82" s="2">
        <v>8</v>
      </c>
      <c r="K82" s="2" t="s">
        <v>59</v>
      </c>
      <c r="L82" s="7">
        <v>20</v>
      </c>
      <c r="M82" s="8"/>
      <c r="N82" s="32" t="s">
        <v>0</v>
      </c>
      <c r="O82" s="1">
        <f>-L82+(-M82)</f>
        <v>-20</v>
      </c>
    </row>
    <row r="83" spans="1:15" ht="17" customHeight="1" x14ac:dyDescent="0.2">
      <c r="A83" s="32"/>
      <c r="B83" s="2" t="s">
        <v>9</v>
      </c>
      <c r="C83" s="7">
        <v>25</v>
      </c>
      <c r="D83" s="34">
        <f t="shared" si="14"/>
        <v>-63.999999999999986</v>
      </c>
      <c r="E83" s="2">
        <f t="shared" si="15"/>
        <v>63.999999999999986</v>
      </c>
      <c r="F83" s="8">
        <f t="shared" ref="F83:F92" si="16">IF(D83&lt;1,0,-D83/2)</f>
        <v>0</v>
      </c>
      <c r="I83" s="7"/>
      <c r="J83" s="2">
        <v>15</v>
      </c>
      <c r="K83" s="55" t="s">
        <v>69</v>
      </c>
      <c r="L83" s="7">
        <v>20</v>
      </c>
      <c r="M83" s="8">
        <v>-20</v>
      </c>
      <c r="N83" s="32" t="s">
        <v>9</v>
      </c>
      <c r="O83" s="1">
        <f t="shared" si="13"/>
        <v>0</v>
      </c>
    </row>
    <row r="84" spans="1:15" ht="17" customHeight="1" x14ac:dyDescent="0.2">
      <c r="A84" s="32"/>
      <c r="B84" s="2" t="s">
        <v>34</v>
      </c>
      <c r="C84" s="7"/>
      <c r="D84" s="34"/>
      <c r="E84" s="2">
        <f t="shared" si="15"/>
        <v>0</v>
      </c>
      <c r="F84" s="8">
        <f t="shared" si="16"/>
        <v>0</v>
      </c>
      <c r="I84" s="7"/>
      <c r="J84" s="2">
        <v>20</v>
      </c>
      <c r="K84" s="55" t="s">
        <v>69</v>
      </c>
      <c r="L84" s="7">
        <v>20</v>
      </c>
      <c r="M84" s="8">
        <v>-20</v>
      </c>
      <c r="N84" s="32" t="s">
        <v>34</v>
      </c>
      <c r="O84" s="1">
        <f t="shared" si="13"/>
        <v>0</v>
      </c>
    </row>
    <row r="85" spans="1:15" ht="17" customHeight="1" x14ac:dyDescent="0.2">
      <c r="A85" s="32">
        <v>10</v>
      </c>
      <c r="B85" s="2" t="s">
        <v>35</v>
      </c>
      <c r="C85" s="7">
        <v>37</v>
      </c>
      <c r="D85" s="34">
        <f t="shared" si="14"/>
        <v>56.000000000000014</v>
      </c>
      <c r="E85" s="2">
        <f t="shared" si="15"/>
        <v>0</v>
      </c>
      <c r="F85" s="8">
        <f t="shared" si="16"/>
        <v>-28.000000000000007</v>
      </c>
      <c r="I85" s="7"/>
      <c r="J85" s="2">
        <v>10</v>
      </c>
      <c r="K85" s="55" t="s">
        <v>69</v>
      </c>
      <c r="L85" s="7">
        <v>20</v>
      </c>
      <c r="M85" s="8">
        <v>-20</v>
      </c>
      <c r="N85" s="32" t="s">
        <v>35</v>
      </c>
      <c r="O85" s="1">
        <f t="shared" si="13"/>
        <v>0</v>
      </c>
    </row>
    <row r="86" spans="1:15" ht="17" customHeight="1" x14ac:dyDescent="0.2">
      <c r="A86" s="32"/>
      <c r="B86" s="2" t="s">
        <v>36</v>
      </c>
      <c r="C86" s="7">
        <v>30</v>
      </c>
      <c r="D86" s="34">
        <f t="shared" si="14"/>
        <v>-13.999999999999986</v>
      </c>
      <c r="E86" s="2">
        <f t="shared" si="15"/>
        <v>13.999999999999986</v>
      </c>
      <c r="F86" s="8">
        <f t="shared" si="16"/>
        <v>0</v>
      </c>
      <c r="I86" s="7"/>
      <c r="J86" s="2">
        <v>2</v>
      </c>
      <c r="K86" s="2" t="s">
        <v>59</v>
      </c>
      <c r="L86" s="7">
        <v>20</v>
      </c>
      <c r="M86" s="8"/>
      <c r="N86" s="32" t="s">
        <v>36</v>
      </c>
      <c r="O86" s="1">
        <f t="shared" si="13"/>
        <v>-20</v>
      </c>
    </row>
    <row r="87" spans="1:15" ht="17" customHeight="1" x14ac:dyDescent="0.2">
      <c r="A87" s="32">
        <v>2</v>
      </c>
      <c r="B87" s="2" t="s">
        <v>10</v>
      </c>
      <c r="C87" s="7">
        <v>32</v>
      </c>
      <c r="D87" s="34">
        <f t="shared" si="14"/>
        <v>6.0000000000000142</v>
      </c>
      <c r="E87" s="2">
        <f t="shared" si="15"/>
        <v>0</v>
      </c>
      <c r="F87" s="8">
        <f t="shared" si="16"/>
        <v>-3.0000000000000071</v>
      </c>
      <c r="I87" s="7"/>
      <c r="J87" s="55">
        <v>5</v>
      </c>
      <c r="K87" s="2" t="s">
        <v>59</v>
      </c>
      <c r="L87" s="7">
        <v>20</v>
      </c>
      <c r="M87" s="8">
        <v>-20</v>
      </c>
      <c r="N87" s="32" t="s">
        <v>10</v>
      </c>
      <c r="O87" s="1">
        <f t="shared" si="13"/>
        <v>0</v>
      </c>
    </row>
    <row r="88" spans="1:15" ht="17" customHeight="1" x14ac:dyDescent="0.2">
      <c r="A88" s="32">
        <v>4</v>
      </c>
      <c r="B88" s="2" t="s">
        <v>2</v>
      </c>
      <c r="C88" s="7">
        <v>34</v>
      </c>
      <c r="D88" s="34">
        <f t="shared" si="14"/>
        <v>26.000000000000014</v>
      </c>
      <c r="E88" s="2">
        <f t="shared" si="15"/>
        <v>0</v>
      </c>
      <c r="F88" s="8">
        <f t="shared" si="16"/>
        <v>-13.000000000000007</v>
      </c>
      <c r="I88" s="7"/>
      <c r="J88" s="55">
        <v>3</v>
      </c>
      <c r="K88" s="2" t="s">
        <v>71</v>
      </c>
      <c r="L88" s="7">
        <v>20</v>
      </c>
      <c r="M88" s="8">
        <v>-20</v>
      </c>
      <c r="N88" s="32" t="s">
        <v>2</v>
      </c>
      <c r="O88" s="1">
        <f t="shared" si="13"/>
        <v>0</v>
      </c>
    </row>
    <row r="89" spans="1:15" ht="17" customHeight="1" x14ac:dyDescent="0.2">
      <c r="A89" s="32"/>
      <c r="B89" s="2" t="s">
        <v>32</v>
      </c>
      <c r="C89" s="7"/>
      <c r="D89" s="34"/>
      <c r="E89" s="2">
        <f t="shared" si="15"/>
        <v>0</v>
      </c>
      <c r="F89" s="8">
        <f t="shared" si="16"/>
        <v>0</v>
      </c>
      <c r="I89" s="7"/>
      <c r="J89" s="55">
        <v>5</v>
      </c>
      <c r="K89" s="2" t="s">
        <v>70</v>
      </c>
      <c r="L89" s="7">
        <v>20</v>
      </c>
      <c r="M89" s="8">
        <v>-20</v>
      </c>
      <c r="N89" s="32" t="s">
        <v>32</v>
      </c>
      <c r="O89" s="1">
        <f t="shared" si="13"/>
        <v>0</v>
      </c>
    </row>
    <row r="90" spans="1:15" ht="17" customHeight="1" x14ac:dyDescent="0.2">
      <c r="A90" s="32">
        <v>10</v>
      </c>
      <c r="B90" s="2" t="s">
        <v>3</v>
      </c>
      <c r="C90" s="7">
        <v>37</v>
      </c>
      <c r="D90" s="34">
        <f t="shared" si="14"/>
        <v>56.000000000000014</v>
      </c>
      <c r="E90" s="2">
        <f t="shared" si="15"/>
        <v>0</v>
      </c>
      <c r="F90" s="8">
        <f t="shared" si="16"/>
        <v>-28.000000000000007</v>
      </c>
      <c r="I90" s="7"/>
      <c r="J90" s="2">
        <v>22</v>
      </c>
      <c r="K90" s="2" t="s">
        <v>53</v>
      </c>
      <c r="L90" s="7">
        <v>20</v>
      </c>
      <c r="M90" s="8"/>
      <c r="N90" s="32" t="s">
        <v>3</v>
      </c>
      <c r="O90" s="1">
        <f t="shared" si="13"/>
        <v>-20</v>
      </c>
    </row>
    <row r="91" spans="1:15" ht="17" customHeight="1" x14ac:dyDescent="0.2">
      <c r="A91" s="32">
        <v>1</v>
      </c>
      <c r="B91" s="2" t="s">
        <v>11</v>
      </c>
      <c r="C91" s="7">
        <v>31</v>
      </c>
      <c r="D91" s="34">
        <f t="shared" si="14"/>
        <v>-3.9999999999999858</v>
      </c>
      <c r="E91" s="2">
        <f t="shared" si="15"/>
        <v>3.9999999999999858</v>
      </c>
      <c r="F91" s="8">
        <f t="shared" si="16"/>
        <v>0</v>
      </c>
      <c r="I91" s="7"/>
      <c r="J91" s="2">
        <v>1</v>
      </c>
      <c r="K91" s="2" t="s">
        <v>14</v>
      </c>
      <c r="L91" s="7">
        <v>20</v>
      </c>
      <c r="M91" s="8"/>
      <c r="N91" s="32" t="s">
        <v>11</v>
      </c>
      <c r="O91" s="1">
        <f t="shared" si="13"/>
        <v>-20</v>
      </c>
    </row>
    <row r="92" spans="1:15" ht="17" customHeight="1" x14ac:dyDescent="0.2">
      <c r="A92" s="31"/>
      <c r="B92" s="45" t="s">
        <v>33</v>
      </c>
      <c r="C92" s="5">
        <v>28</v>
      </c>
      <c r="D92" s="35">
        <f t="shared" si="14"/>
        <v>-33.999999999999986</v>
      </c>
      <c r="E92" s="45">
        <f t="shared" si="15"/>
        <v>33.999999999999986</v>
      </c>
      <c r="F92" s="6">
        <f t="shared" si="16"/>
        <v>0</v>
      </c>
      <c r="I92" s="5"/>
      <c r="J92" s="45">
        <v>1</v>
      </c>
      <c r="K92" s="45" t="s">
        <v>14</v>
      </c>
      <c r="L92" s="5">
        <v>20</v>
      </c>
      <c r="M92" s="6"/>
      <c r="N92" s="31" t="s">
        <v>33</v>
      </c>
      <c r="O92" s="1">
        <f t="shared" si="13"/>
        <v>-20</v>
      </c>
    </row>
    <row r="93" spans="1:15" ht="17" customHeight="1" x14ac:dyDescent="0.2">
      <c r="J93" s="2"/>
      <c r="K93" s="2"/>
      <c r="L93" s="2"/>
      <c r="M93" s="2"/>
    </row>
    <row r="94" spans="1:15" ht="17" customHeight="1" x14ac:dyDescent="0.2">
      <c r="D94" s="2">
        <f>SUM(D81:D92)</f>
        <v>1.4210854715202004E-13</v>
      </c>
      <c r="E94" s="2">
        <f t="shared" ref="E94:F94" si="17">SUM(E81:E92)</f>
        <v>169.99999999999994</v>
      </c>
      <c r="F94" s="2">
        <f t="shared" si="17"/>
        <v>-85.000000000000028</v>
      </c>
      <c r="J94" s="2"/>
      <c r="K94" s="2"/>
      <c r="L94" s="2"/>
    </row>
    <row r="95" spans="1:15" ht="17" customHeight="1" x14ac:dyDescent="0.2"/>
    <row r="96" spans="1:15" ht="17" customHeight="1" x14ac:dyDescent="0.2"/>
    <row r="97" spans="1:15" ht="17" customHeight="1" x14ac:dyDescent="0.2">
      <c r="B97" s="19" t="s">
        <v>74</v>
      </c>
      <c r="C97" s="20"/>
      <c r="D97" s="20"/>
    </row>
    <row r="99" spans="1:15" x14ac:dyDescent="0.2">
      <c r="A99" s="12"/>
      <c r="B99" s="13" t="s">
        <v>6</v>
      </c>
      <c r="C99" s="4">
        <v>1</v>
      </c>
      <c r="D99" s="21"/>
      <c r="E99" s="46" t="s">
        <v>12</v>
      </c>
      <c r="F99" s="18">
        <f>E101+F101+G101</f>
        <v>0</v>
      </c>
      <c r="L99" s="46" t="s">
        <v>12</v>
      </c>
      <c r="M99" s="18">
        <f>L101+M101+N101</f>
        <v>120</v>
      </c>
      <c r="O99" s="41"/>
    </row>
    <row r="100" spans="1:15" x14ac:dyDescent="0.2">
      <c r="A100" s="49">
        <f>SUM(C104:C115)/$C$30</f>
        <v>0</v>
      </c>
      <c r="B100" s="1" t="s">
        <v>5</v>
      </c>
      <c r="C100" s="50">
        <f>A100</f>
        <v>0</v>
      </c>
      <c r="D100" s="8"/>
      <c r="E100" s="7"/>
      <c r="F100" s="8"/>
      <c r="L100" s="53"/>
      <c r="M100" s="9"/>
      <c r="O100" s="41"/>
    </row>
    <row r="101" spans="1:15" x14ac:dyDescent="0.2">
      <c r="A101" s="51"/>
      <c r="B101" s="15"/>
      <c r="C101" s="52"/>
      <c r="D101" s="6"/>
      <c r="E101" s="47">
        <f>SUM(E104:E115)</f>
        <v>0</v>
      </c>
      <c r="F101" s="48">
        <f>SUM(F104:F115)</f>
        <v>0</v>
      </c>
      <c r="I101" s="63" t="s">
        <v>68</v>
      </c>
      <c r="J101" s="65"/>
      <c r="K101" s="65"/>
      <c r="L101" s="17">
        <f>SUM(L104:L115)</f>
        <v>240</v>
      </c>
      <c r="M101" s="18">
        <f>SUM(M104:M115)</f>
        <v>-120</v>
      </c>
      <c r="N101" s="2"/>
      <c r="O101" s="41"/>
    </row>
    <row r="102" spans="1:15" x14ac:dyDescent="0.2">
      <c r="A102" s="11" t="s">
        <v>28</v>
      </c>
      <c r="B102" s="39"/>
      <c r="C102" s="11" t="s">
        <v>4</v>
      </c>
      <c r="D102" s="11" t="s">
        <v>30</v>
      </c>
      <c r="E102" s="47" t="s">
        <v>8</v>
      </c>
      <c r="F102" s="48" t="s">
        <v>7</v>
      </c>
      <c r="I102" s="7"/>
      <c r="J102" s="2" t="s">
        <v>14</v>
      </c>
      <c r="K102" s="2" t="s">
        <v>24</v>
      </c>
      <c r="L102" s="5" t="s">
        <v>8</v>
      </c>
      <c r="M102" s="6" t="s">
        <v>7</v>
      </c>
      <c r="N102" s="2"/>
      <c r="O102" s="41"/>
    </row>
    <row r="103" spans="1:15" x14ac:dyDescent="0.2">
      <c r="A103" s="32" t="s">
        <v>29</v>
      </c>
      <c r="B103" s="10"/>
      <c r="C103" s="31"/>
      <c r="D103" s="32"/>
      <c r="E103" s="5"/>
      <c r="F103" s="6"/>
      <c r="H103" s="16" t="s">
        <v>30</v>
      </c>
      <c r="I103" s="12" t="s">
        <v>75</v>
      </c>
      <c r="J103" s="4">
        <v>2</v>
      </c>
      <c r="K103" s="54" t="s">
        <v>76</v>
      </c>
      <c r="L103" s="14"/>
      <c r="M103" s="21"/>
      <c r="N103" s="2"/>
      <c r="O103" s="41"/>
    </row>
    <row r="104" spans="1:15" x14ac:dyDescent="0.2">
      <c r="A104" s="11"/>
      <c r="B104" s="4" t="s">
        <v>1</v>
      </c>
      <c r="C104" s="12"/>
      <c r="D104" s="33">
        <f>(C104-$C$100)*$C$99</f>
        <v>0</v>
      </c>
      <c r="E104" s="4">
        <f>IF(D104&lt;1,-D104,0)</f>
        <v>0</v>
      </c>
      <c r="F104" s="21">
        <f>IF(D104&lt;1,0,-D104/2)</f>
        <v>0</v>
      </c>
      <c r="I104" s="12"/>
      <c r="J104" s="4">
        <v>18</v>
      </c>
      <c r="K104" s="4" t="s">
        <v>57</v>
      </c>
      <c r="L104" s="7">
        <v>20</v>
      </c>
      <c r="M104" s="8"/>
      <c r="N104" s="11" t="s">
        <v>1</v>
      </c>
      <c r="O104" s="1">
        <f t="shared" ref="O104:O115" si="18">-L104+(-M104)</f>
        <v>-20</v>
      </c>
    </row>
    <row r="105" spans="1:15" x14ac:dyDescent="0.2">
      <c r="A105" s="32"/>
      <c r="B105" s="2" t="s">
        <v>0</v>
      </c>
      <c r="C105" s="7"/>
      <c r="D105" s="34">
        <f t="shared" ref="D105:D115" si="19">(C105-$C$100)*$C$99</f>
        <v>0</v>
      </c>
      <c r="E105" s="2">
        <f t="shared" ref="E105:E115" si="20">IF(D105&lt;1,-D105,0)</f>
        <v>0</v>
      </c>
      <c r="F105" s="8">
        <f>IF(D105&lt;1,0,-D105/2)</f>
        <v>0</v>
      </c>
      <c r="I105" s="7"/>
      <c r="J105" s="2">
        <v>4</v>
      </c>
      <c r="K105" s="2" t="s">
        <v>72</v>
      </c>
      <c r="L105" s="7">
        <v>20</v>
      </c>
      <c r="M105" s="8"/>
      <c r="N105" s="32" t="s">
        <v>0</v>
      </c>
      <c r="O105" s="1">
        <f t="shared" si="18"/>
        <v>-20</v>
      </c>
    </row>
    <row r="106" spans="1:15" x14ac:dyDescent="0.2">
      <c r="A106" s="32"/>
      <c r="B106" s="2" t="s">
        <v>9</v>
      </c>
      <c r="C106" s="7"/>
      <c r="D106" s="34">
        <f t="shared" si="19"/>
        <v>0</v>
      </c>
      <c r="E106" s="2">
        <f t="shared" si="20"/>
        <v>0</v>
      </c>
      <c r="F106" s="8">
        <f t="shared" ref="F106:F115" si="21">IF(D106&lt;1,0,-D106/2)</f>
        <v>0</v>
      </c>
      <c r="I106" s="7"/>
      <c r="J106" s="2">
        <v>8</v>
      </c>
      <c r="K106" s="2" t="s">
        <v>59</v>
      </c>
      <c r="L106" s="7">
        <v>20</v>
      </c>
      <c r="M106" s="8"/>
      <c r="N106" s="32" t="s">
        <v>9</v>
      </c>
      <c r="O106" s="1">
        <f t="shared" si="18"/>
        <v>-20</v>
      </c>
    </row>
    <row r="107" spans="1:15" x14ac:dyDescent="0.2">
      <c r="A107" s="32"/>
      <c r="B107" s="2" t="s">
        <v>34</v>
      </c>
      <c r="C107" s="7"/>
      <c r="D107" s="34">
        <f t="shared" si="19"/>
        <v>0</v>
      </c>
      <c r="E107" s="2">
        <f t="shared" si="20"/>
        <v>0</v>
      </c>
      <c r="F107" s="8">
        <f t="shared" si="21"/>
        <v>0</v>
      </c>
      <c r="I107" s="7"/>
      <c r="J107" s="2">
        <v>24</v>
      </c>
      <c r="K107" s="2" t="s">
        <v>57</v>
      </c>
      <c r="L107" s="7">
        <v>20</v>
      </c>
      <c r="M107" s="8"/>
      <c r="N107" s="32" t="s">
        <v>34</v>
      </c>
      <c r="O107" s="1">
        <f t="shared" si="18"/>
        <v>-20</v>
      </c>
    </row>
    <row r="108" spans="1:15" x14ac:dyDescent="0.2">
      <c r="A108" s="32"/>
      <c r="B108" s="2" t="s">
        <v>35</v>
      </c>
      <c r="C108" s="7"/>
      <c r="D108" s="34">
        <f t="shared" si="19"/>
        <v>0</v>
      </c>
      <c r="E108" s="2">
        <f t="shared" si="20"/>
        <v>0</v>
      </c>
      <c r="F108" s="8">
        <f t="shared" si="21"/>
        <v>0</v>
      </c>
      <c r="I108" s="7"/>
      <c r="J108" s="2">
        <v>8</v>
      </c>
      <c r="K108" s="55" t="s">
        <v>50</v>
      </c>
      <c r="L108" s="7">
        <v>20</v>
      </c>
      <c r="M108" s="8">
        <v>-10</v>
      </c>
      <c r="N108" s="32" t="s">
        <v>35</v>
      </c>
      <c r="O108" s="1">
        <f t="shared" si="18"/>
        <v>-10</v>
      </c>
    </row>
    <row r="109" spans="1:15" x14ac:dyDescent="0.2">
      <c r="A109" s="32"/>
      <c r="B109" s="2" t="s">
        <v>36</v>
      </c>
      <c r="C109" s="7"/>
      <c r="D109" s="34">
        <f t="shared" si="19"/>
        <v>0</v>
      </c>
      <c r="E109" s="2">
        <f t="shared" si="20"/>
        <v>0</v>
      </c>
      <c r="F109" s="8">
        <f t="shared" si="21"/>
        <v>0</v>
      </c>
      <c r="I109" s="7"/>
      <c r="J109" s="55">
        <v>2</v>
      </c>
      <c r="K109" s="55" t="s">
        <v>50</v>
      </c>
      <c r="L109" s="7">
        <v>20</v>
      </c>
      <c r="M109" s="8">
        <v>-40</v>
      </c>
      <c r="N109" s="32" t="s">
        <v>36</v>
      </c>
      <c r="O109" s="1">
        <f t="shared" si="18"/>
        <v>20</v>
      </c>
    </row>
    <row r="110" spans="1:15" x14ac:dyDescent="0.2">
      <c r="A110" s="32"/>
      <c r="B110" s="2" t="s">
        <v>10</v>
      </c>
      <c r="C110" s="7"/>
      <c r="D110" s="34">
        <f t="shared" si="19"/>
        <v>0</v>
      </c>
      <c r="E110" s="2">
        <f t="shared" si="20"/>
        <v>0</v>
      </c>
      <c r="F110" s="8">
        <f t="shared" si="21"/>
        <v>0</v>
      </c>
      <c r="I110" s="7"/>
      <c r="J110" s="2">
        <v>3</v>
      </c>
      <c r="K110" s="55" t="s">
        <v>50</v>
      </c>
      <c r="L110" s="7">
        <v>20</v>
      </c>
      <c r="M110" s="8">
        <v>-10</v>
      </c>
      <c r="N110" s="32" t="s">
        <v>10</v>
      </c>
      <c r="O110" s="1">
        <f t="shared" si="18"/>
        <v>-10</v>
      </c>
    </row>
    <row r="111" spans="1:15" x14ac:dyDescent="0.2">
      <c r="A111" s="32"/>
      <c r="B111" s="2" t="s">
        <v>2</v>
      </c>
      <c r="C111" s="7"/>
      <c r="D111" s="34">
        <f t="shared" si="19"/>
        <v>0</v>
      </c>
      <c r="E111" s="2">
        <f t="shared" si="20"/>
        <v>0</v>
      </c>
      <c r="F111" s="8">
        <f t="shared" si="21"/>
        <v>0</v>
      </c>
      <c r="I111" s="7"/>
      <c r="J111" s="2">
        <v>5</v>
      </c>
      <c r="K111" s="55" t="s">
        <v>70</v>
      </c>
      <c r="L111" s="7">
        <v>20</v>
      </c>
      <c r="M111" s="8">
        <v>-10</v>
      </c>
      <c r="N111" s="32" t="s">
        <v>2</v>
      </c>
      <c r="O111" s="1">
        <f t="shared" si="18"/>
        <v>-10</v>
      </c>
    </row>
    <row r="112" spans="1:15" x14ac:dyDescent="0.2">
      <c r="A112" s="32"/>
      <c r="B112" s="2" t="s">
        <v>32</v>
      </c>
      <c r="C112" s="7"/>
      <c r="D112" s="34">
        <f t="shared" si="19"/>
        <v>0</v>
      </c>
      <c r="E112" s="2">
        <f t="shared" si="20"/>
        <v>0</v>
      </c>
      <c r="F112" s="8">
        <f t="shared" si="21"/>
        <v>0</v>
      </c>
      <c r="I112" s="7"/>
      <c r="J112" s="55">
        <v>2</v>
      </c>
      <c r="K112" s="2" t="s">
        <v>72</v>
      </c>
      <c r="L112" s="7">
        <v>20</v>
      </c>
      <c r="M112" s="8">
        <v>-30</v>
      </c>
      <c r="N112" s="32" t="s">
        <v>32</v>
      </c>
      <c r="O112" s="1">
        <f t="shared" si="18"/>
        <v>10</v>
      </c>
    </row>
    <row r="113" spans="1:15" x14ac:dyDescent="0.2">
      <c r="A113" s="32"/>
      <c r="B113" s="2" t="s">
        <v>3</v>
      </c>
      <c r="C113" s="7"/>
      <c r="D113" s="34">
        <f t="shared" si="19"/>
        <v>0</v>
      </c>
      <c r="E113" s="2">
        <f t="shared" si="20"/>
        <v>0</v>
      </c>
      <c r="F113" s="8">
        <f t="shared" si="21"/>
        <v>0</v>
      </c>
      <c r="I113" s="7"/>
      <c r="J113" s="2">
        <v>22</v>
      </c>
      <c r="K113" s="2" t="s">
        <v>72</v>
      </c>
      <c r="L113" s="7">
        <v>20</v>
      </c>
      <c r="M113" s="8"/>
      <c r="N113" s="32" t="s">
        <v>3</v>
      </c>
      <c r="O113" s="1">
        <f t="shared" si="18"/>
        <v>-20</v>
      </c>
    </row>
    <row r="114" spans="1:15" x14ac:dyDescent="0.2">
      <c r="A114" s="32"/>
      <c r="B114" s="2" t="s">
        <v>11</v>
      </c>
      <c r="C114" s="7"/>
      <c r="D114" s="34">
        <f t="shared" si="19"/>
        <v>0</v>
      </c>
      <c r="E114" s="2">
        <f t="shared" si="20"/>
        <v>0</v>
      </c>
      <c r="F114" s="8">
        <f t="shared" si="21"/>
        <v>0</v>
      </c>
      <c r="I114" s="7"/>
      <c r="J114" s="2">
        <v>1</v>
      </c>
      <c r="K114" s="55" t="s">
        <v>14</v>
      </c>
      <c r="L114" s="7">
        <v>20</v>
      </c>
      <c r="M114" s="8">
        <v>-10</v>
      </c>
      <c r="N114" s="32" t="s">
        <v>11</v>
      </c>
      <c r="O114" s="1">
        <f t="shared" si="18"/>
        <v>-10</v>
      </c>
    </row>
    <row r="115" spans="1:15" x14ac:dyDescent="0.2">
      <c r="A115" s="31"/>
      <c r="B115" s="45" t="s">
        <v>33</v>
      </c>
      <c r="C115" s="5"/>
      <c r="D115" s="35">
        <f t="shared" si="19"/>
        <v>0</v>
      </c>
      <c r="E115" s="45">
        <f t="shared" si="20"/>
        <v>0</v>
      </c>
      <c r="F115" s="6">
        <f t="shared" si="21"/>
        <v>0</v>
      </c>
      <c r="I115" s="5"/>
      <c r="J115" s="45">
        <v>1</v>
      </c>
      <c r="K115" s="56" t="s">
        <v>14</v>
      </c>
      <c r="L115" s="5">
        <v>20</v>
      </c>
      <c r="M115" s="6">
        <v>-10</v>
      </c>
      <c r="N115" s="31" t="s">
        <v>33</v>
      </c>
      <c r="O115" s="1">
        <f t="shared" si="18"/>
        <v>-10</v>
      </c>
    </row>
    <row r="116" spans="1:15" x14ac:dyDescent="0.2">
      <c r="J116" s="2"/>
      <c r="K116" s="2"/>
      <c r="L116" s="2"/>
      <c r="M116" s="2"/>
    </row>
    <row r="117" spans="1:15" x14ac:dyDescent="0.2">
      <c r="D117" s="2">
        <f>SUM(D104:D115)</f>
        <v>0</v>
      </c>
      <c r="E117" s="2">
        <f t="shared" ref="E117:F117" si="22">SUM(E104:E115)</f>
        <v>0</v>
      </c>
      <c r="F117" s="2">
        <f t="shared" si="22"/>
        <v>0</v>
      </c>
      <c r="J117" s="2"/>
      <c r="K117" s="2"/>
      <c r="L117" s="2"/>
    </row>
    <row r="120" spans="1:15" x14ac:dyDescent="0.2">
      <c r="B120" s="19" t="s">
        <v>47</v>
      </c>
      <c r="C120" s="20"/>
      <c r="D120" s="20"/>
    </row>
    <row r="122" spans="1:15" x14ac:dyDescent="0.2">
      <c r="A122" s="12"/>
      <c r="B122" s="13" t="s">
        <v>6</v>
      </c>
      <c r="C122" s="4">
        <v>10</v>
      </c>
      <c r="D122" s="21"/>
      <c r="E122" s="46" t="s">
        <v>12</v>
      </c>
      <c r="F122" s="18">
        <f>E124+F124+G124</f>
        <v>87.500000000000085</v>
      </c>
      <c r="L122" s="41"/>
      <c r="M122" s="2"/>
      <c r="O122" s="41"/>
    </row>
    <row r="123" spans="1:15" x14ac:dyDescent="0.2">
      <c r="A123" s="49">
        <f>SUM(C127:C138)/$C$30</f>
        <v>30.1</v>
      </c>
      <c r="B123" s="1" t="s">
        <v>5</v>
      </c>
      <c r="C123" s="50">
        <f>A123</f>
        <v>30.1</v>
      </c>
      <c r="D123" s="8"/>
      <c r="E123" s="7"/>
      <c r="F123" s="8"/>
      <c r="O123" s="41"/>
    </row>
    <row r="124" spans="1:15" x14ac:dyDescent="0.2">
      <c r="A124" s="51"/>
      <c r="B124" s="15"/>
      <c r="C124" s="52"/>
      <c r="D124" s="6"/>
      <c r="E124" s="47">
        <f>SUM(E127:E138)</f>
        <v>175.00000000000006</v>
      </c>
      <c r="F124" s="48">
        <f>SUM(F127:F138)</f>
        <v>-87.499999999999972</v>
      </c>
      <c r="I124" s="66"/>
      <c r="J124" s="66"/>
      <c r="K124" s="66"/>
      <c r="L124" s="2"/>
      <c r="M124" s="2"/>
      <c r="N124" s="2"/>
      <c r="O124" s="41"/>
    </row>
    <row r="125" spans="1:15" x14ac:dyDescent="0.2">
      <c r="A125" s="11" t="s">
        <v>28</v>
      </c>
      <c r="B125" s="39"/>
      <c r="C125" s="11" t="s">
        <v>4</v>
      </c>
      <c r="D125" s="11" t="s">
        <v>30</v>
      </c>
      <c r="E125" s="47" t="s">
        <v>8</v>
      </c>
      <c r="F125" s="48" t="s">
        <v>7</v>
      </c>
      <c r="J125" s="2"/>
      <c r="K125" s="2"/>
      <c r="L125" s="2"/>
      <c r="M125" s="2"/>
      <c r="N125" s="2"/>
      <c r="O125" s="41"/>
    </row>
    <row r="126" spans="1:15" x14ac:dyDescent="0.2">
      <c r="A126" s="32" t="s">
        <v>29</v>
      </c>
      <c r="B126" s="10"/>
      <c r="C126" s="31"/>
      <c r="D126" s="32"/>
      <c r="E126" s="5"/>
      <c r="F126" s="6"/>
      <c r="J126" s="2"/>
      <c r="K126" s="2"/>
      <c r="M126" s="2"/>
      <c r="N126" s="2"/>
      <c r="O126" s="41"/>
    </row>
    <row r="127" spans="1:15" x14ac:dyDescent="0.2">
      <c r="A127" s="11">
        <v>10</v>
      </c>
      <c r="B127" s="4" t="s">
        <v>1</v>
      </c>
      <c r="C127" s="12">
        <v>37</v>
      </c>
      <c r="D127" s="33">
        <f>(C127-$C$123)*$C$122</f>
        <v>68.999999999999986</v>
      </c>
      <c r="E127" s="4">
        <f>IF(D127&lt;1,-D127,0)</f>
        <v>0</v>
      </c>
      <c r="F127" s="21">
        <f>IF(D127&lt;1,0,-D127/2)</f>
        <v>-34.499999999999993</v>
      </c>
      <c r="J127" s="2"/>
      <c r="K127" s="2"/>
      <c r="L127" s="2"/>
      <c r="M127" s="2"/>
      <c r="N127" s="2"/>
    </row>
    <row r="128" spans="1:15" x14ac:dyDescent="0.2">
      <c r="A128" s="32">
        <v>4</v>
      </c>
      <c r="B128" s="2" t="s">
        <v>0</v>
      </c>
      <c r="C128" s="7">
        <v>32</v>
      </c>
      <c r="D128" s="34">
        <f t="shared" ref="D128:D138" si="23">(C128-$C$123)*$C$122</f>
        <v>18.999999999999986</v>
      </c>
      <c r="E128" s="2">
        <f t="shared" ref="E128:E138" si="24">IF(D128&lt;1,-D128,0)</f>
        <v>0</v>
      </c>
      <c r="F128" s="8">
        <f>IF(D128&lt;1,0,-D128/2)</f>
        <v>-9.4999999999999929</v>
      </c>
      <c r="J128" s="2"/>
      <c r="K128" s="2"/>
      <c r="L128" s="2"/>
      <c r="M128" s="2"/>
      <c r="N128" s="2"/>
    </row>
    <row r="129" spans="1:14" x14ac:dyDescent="0.2">
      <c r="A129" s="32">
        <v>1</v>
      </c>
      <c r="B129" s="2" t="s">
        <v>9</v>
      </c>
      <c r="C129" s="7">
        <v>28</v>
      </c>
      <c r="D129" s="34">
        <f t="shared" si="23"/>
        <v>-21.000000000000014</v>
      </c>
      <c r="E129" s="2">
        <f t="shared" si="24"/>
        <v>21.000000000000014</v>
      </c>
      <c r="F129" s="8">
        <f t="shared" ref="F129:F138" si="25">IF(D129&lt;1,0,-D129/2)</f>
        <v>0</v>
      </c>
      <c r="J129" s="2"/>
      <c r="K129" s="2"/>
      <c r="L129" s="2"/>
      <c r="M129" s="2"/>
      <c r="N129" s="2"/>
    </row>
    <row r="130" spans="1:14" x14ac:dyDescent="0.2">
      <c r="A130" s="32"/>
      <c r="B130" s="2" t="s">
        <v>34</v>
      </c>
      <c r="C130" s="7">
        <v>25</v>
      </c>
      <c r="D130" s="34">
        <f t="shared" si="23"/>
        <v>-51.000000000000014</v>
      </c>
      <c r="E130" s="2">
        <f t="shared" si="24"/>
        <v>51.000000000000014</v>
      </c>
      <c r="F130" s="8">
        <f t="shared" si="25"/>
        <v>0</v>
      </c>
      <c r="J130" s="2"/>
      <c r="K130" s="2"/>
      <c r="L130" s="2"/>
      <c r="M130" s="2"/>
      <c r="N130" s="2"/>
    </row>
    <row r="131" spans="1:14" x14ac:dyDescent="0.2">
      <c r="A131" s="32">
        <v>2</v>
      </c>
      <c r="B131" s="2" t="s">
        <v>35</v>
      </c>
      <c r="C131" s="7">
        <v>31</v>
      </c>
      <c r="D131" s="34">
        <f t="shared" si="23"/>
        <v>8.9999999999999858</v>
      </c>
      <c r="E131" s="2">
        <f t="shared" si="24"/>
        <v>0</v>
      </c>
      <c r="F131" s="8">
        <f t="shared" si="25"/>
        <v>-4.4999999999999929</v>
      </c>
      <c r="J131" s="2"/>
      <c r="K131" s="2"/>
      <c r="L131" s="2"/>
      <c r="M131" s="2"/>
      <c r="N131" s="2"/>
    </row>
    <row r="132" spans="1:14" x14ac:dyDescent="0.2">
      <c r="A132" s="32"/>
      <c r="B132" s="2" t="s">
        <v>36</v>
      </c>
      <c r="C132" s="7"/>
      <c r="D132" s="34"/>
      <c r="E132" s="2">
        <f t="shared" si="24"/>
        <v>0</v>
      </c>
      <c r="F132" s="8">
        <f t="shared" si="25"/>
        <v>0</v>
      </c>
      <c r="J132" s="2"/>
      <c r="K132" s="2"/>
      <c r="L132" s="2"/>
      <c r="M132" s="2"/>
      <c r="N132" s="2"/>
    </row>
    <row r="133" spans="1:14" x14ac:dyDescent="0.2">
      <c r="A133" s="32">
        <v>4</v>
      </c>
      <c r="B133" s="2" t="s">
        <v>10</v>
      </c>
      <c r="C133" s="7">
        <v>32</v>
      </c>
      <c r="D133" s="34">
        <f t="shared" si="23"/>
        <v>18.999999999999986</v>
      </c>
      <c r="E133" s="2">
        <f t="shared" si="24"/>
        <v>0</v>
      </c>
      <c r="F133" s="8">
        <f t="shared" si="25"/>
        <v>-9.4999999999999929</v>
      </c>
      <c r="J133" s="2"/>
      <c r="K133" s="2"/>
      <c r="L133" s="2"/>
      <c r="M133" s="2"/>
      <c r="N133" s="2"/>
    </row>
    <row r="134" spans="1:14" x14ac:dyDescent="0.2">
      <c r="A134" s="32">
        <v>1</v>
      </c>
      <c r="B134" s="2" t="s">
        <v>2</v>
      </c>
      <c r="C134" s="7">
        <v>28</v>
      </c>
      <c r="D134" s="34">
        <f t="shared" si="23"/>
        <v>-21.000000000000014</v>
      </c>
      <c r="E134" s="2">
        <f t="shared" si="24"/>
        <v>21.000000000000014</v>
      </c>
      <c r="F134" s="8">
        <f t="shared" si="25"/>
        <v>0</v>
      </c>
      <c r="J134" s="2"/>
      <c r="K134" s="2"/>
      <c r="L134" s="2"/>
      <c r="M134" s="2"/>
      <c r="N134" s="2"/>
    </row>
    <row r="135" spans="1:14" x14ac:dyDescent="0.2">
      <c r="A135" s="32"/>
      <c r="B135" s="2" t="s">
        <v>32</v>
      </c>
      <c r="C135" s="7"/>
      <c r="D135" s="34"/>
      <c r="E135" s="2">
        <f t="shared" si="24"/>
        <v>0</v>
      </c>
      <c r="F135" s="8">
        <f t="shared" si="25"/>
        <v>0</v>
      </c>
      <c r="J135" s="2"/>
      <c r="K135" s="2"/>
      <c r="L135" s="2"/>
      <c r="M135" s="2"/>
      <c r="N135" s="2"/>
    </row>
    <row r="136" spans="1:14" x14ac:dyDescent="0.2">
      <c r="A136" s="32"/>
      <c r="B136" s="2" t="s">
        <v>3</v>
      </c>
      <c r="C136" s="7">
        <v>26</v>
      </c>
      <c r="D136" s="34">
        <f t="shared" si="23"/>
        <v>-41.000000000000014</v>
      </c>
      <c r="E136" s="2">
        <f t="shared" si="24"/>
        <v>41.000000000000014</v>
      </c>
      <c r="F136" s="8">
        <f t="shared" si="25"/>
        <v>0</v>
      </c>
      <c r="J136" s="2"/>
      <c r="K136" s="2"/>
      <c r="L136" s="2"/>
      <c r="M136" s="2"/>
      <c r="N136" s="2"/>
    </row>
    <row r="137" spans="1:14" x14ac:dyDescent="0.2">
      <c r="A137" s="32">
        <v>6</v>
      </c>
      <c r="B137" s="2" t="s">
        <v>11</v>
      </c>
      <c r="C137" s="7">
        <v>36</v>
      </c>
      <c r="D137" s="34">
        <f t="shared" si="23"/>
        <v>58.999999999999986</v>
      </c>
      <c r="E137" s="2">
        <f t="shared" si="24"/>
        <v>0</v>
      </c>
      <c r="F137" s="8">
        <f t="shared" si="25"/>
        <v>-29.499999999999993</v>
      </c>
      <c r="J137" s="2"/>
      <c r="K137" s="2"/>
      <c r="L137" s="2"/>
      <c r="M137" s="2"/>
      <c r="N137" s="2"/>
    </row>
    <row r="138" spans="1:14" x14ac:dyDescent="0.2">
      <c r="A138" s="31"/>
      <c r="B138" s="45" t="s">
        <v>33</v>
      </c>
      <c r="C138" s="5">
        <v>26</v>
      </c>
      <c r="D138" s="35">
        <f t="shared" si="23"/>
        <v>-41.000000000000014</v>
      </c>
      <c r="E138" s="45">
        <f t="shared" si="24"/>
        <v>41.000000000000014</v>
      </c>
      <c r="F138" s="6">
        <f t="shared" si="25"/>
        <v>0</v>
      </c>
      <c r="J138" s="2"/>
      <c r="K138" s="2"/>
      <c r="L138" s="2"/>
      <c r="M138" s="2"/>
      <c r="N138" s="2"/>
    </row>
    <row r="139" spans="1:14" x14ac:dyDescent="0.2">
      <c r="J139" s="2"/>
      <c r="K139" s="2"/>
      <c r="L139" s="2"/>
      <c r="M139" s="2"/>
    </row>
    <row r="140" spans="1:14" x14ac:dyDescent="0.2">
      <c r="D140" s="2">
        <f>SUM(D127:D138)</f>
        <v>-1.4210854715202004E-13</v>
      </c>
      <c r="E140" s="2">
        <f t="shared" ref="E140:F140" si="26">SUM(E127:E138)</f>
        <v>175.00000000000006</v>
      </c>
      <c r="F140" s="2">
        <f t="shared" si="26"/>
        <v>-87.499999999999972</v>
      </c>
      <c r="J140" s="2"/>
      <c r="K140" s="2"/>
      <c r="L140" s="2"/>
    </row>
  </sheetData>
  <mergeCells count="12">
    <mergeCell ref="A5:A6"/>
    <mergeCell ref="C5:D5"/>
    <mergeCell ref="E5:F5"/>
    <mergeCell ref="G5:H5"/>
    <mergeCell ref="I5:J5"/>
    <mergeCell ref="B5:B6"/>
    <mergeCell ref="L5:M5"/>
    <mergeCell ref="I55:K55"/>
    <mergeCell ref="I78:K78"/>
    <mergeCell ref="I101:K101"/>
    <mergeCell ref="I124:K124"/>
    <mergeCell ref="I32:K32"/>
  </mergeCells>
  <phoneticPr fontId="2" type="noConversion"/>
  <pageMargins left="0.7" right="0.7" top="0.78740157499999996" bottom="0.78740157499999996" header="0.3" footer="0.3"/>
  <pageSetup paperSize="9" scale="37" orientation="portrait" horizontalDpi="0" verticalDpi="0" copies="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2022-07-13T18:41:44Z</cp:lastPrinted>
  <dcterms:created xsi:type="dcterms:W3CDTF">2022-06-15T14:13:38Z</dcterms:created>
  <dcterms:modified xsi:type="dcterms:W3CDTF">2023-07-26T12:27:41Z</dcterms:modified>
</cp:coreProperties>
</file>